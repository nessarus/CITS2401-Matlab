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uniwa.uwa.edu.au\userhome\Students9\20163079\My Documents\CITS2401\Assignment3\"/>
    </mc:Choice>
  </mc:AlternateContent>
  <bookViews>
    <workbookView xWindow="0" yWindow="0" windowWidth="24000" windowHeight="14820"/>
  </bookViews>
  <sheets>
    <sheet name="Analysis" sheetId="4" r:id="rId1"/>
    <sheet name="Residential_Property" sheetId="1" r:id="rId2"/>
    <sheet name="Established_Houses" sheetId="2" r:id="rId3"/>
    <sheet name="Attached_Dwellings" sheetId="3" r:id="rId4"/>
  </sheets>
  <calcPr calcId="152511"/>
</workbook>
</file>

<file path=xl/calcChain.xml><?xml version="1.0" encoding="utf-8"?>
<calcChain xmlns="http://schemas.openxmlformats.org/spreadsheetml/2006/main">
  <c r="E7" i="4" l="1" a="1"/>
  <c r="E30" i="4" s="1"/>
  <c r="D7" i="4" a="1"/>
  <c r="D29" i="4" s="1"/>
  <c r="C7" i="4" a="1"/>
  <c r="C11" i="4" s="1"/>
  <c r="E12" i="4" l="1"/>
  <c r="E20" i="4"/>
  <c r="E28" i="4"/>
  <c r="E13" i="4"/>
  <c r="E21" i="4"/>
  <c r="E29" i="4"/>
  <c r="E7" i="4"/>
  <c r="E15" i="4"/>
  <c r="E23" i="4"/>
  <c r="E8" i="4"/>
  <c r="E16" i="4"/>
  <c r="E24" i="4"/>
  <c r="E9" i="4"/>
  <c r="E17" i="4"/>
  <c r="E25" i="4"/>
  <c r="E10" i="4"/>
  <c r="E18" i="4"/>
  <c r="E26" i="4"/>
  <c r="E11" i="4"/>
  <c r="E19" i="4"/>
  <c r="E27" i="4"/>
  <c r="E14" i="4"/>
  <c r="E22" i="4"/>
  <c r="D14" i="4"/>
  <c r="D30" i="4"/>
  <c r="D7" i="4"/>
  <c r="D23" i="4"/>
  <c r="D8" i="4"/>
  <c r="D24" i="4"/>
  <c r="D17" i="4"/>
  <c r="D25" i="4"/>
  <c r="D10" i="4"/>
  <c r="D18" i="4"/>
  <c r="D26" i="4"/>
  <c r="D11" i="4"/>
  <c r="D19" i="4"/>
  <c r="D27" i="4"/>
  <c r="D22" i="4"/>
  <c r="D15" i="4"/>
  <c r="D16" i="4"/>
  <c r="D9" i="4"/>
  <c r="D12" i="4"/>
  <c r="D20" i="4"/>
  <c r="D28" i="4"/>
  <c r="D13" i="4"/>
  <c r="D21" i="4"/>
  <c r="C29" i="4"/>
  <c r="C21" i="4"/>
  <c r="C13" i="4"/>
  <c r="C26" i="4"/>
  <c r="C18" i="4"/>
  <c r="C10" i="4"/>
  <c r="C25" i="4"/>
  <c r="C17" i="4"/>
  <c r="C9" i="4"/>
  <c r="C24" i="4"/>
  <c r="C16" i="4"/>
  <c r="C8" i="4"/>
  <c r="C23" i="4"/>
  <c r="C15" i="4"/>
  <c r="C7" i="4"/>
  <c r="C30" i="4"/>
  <c r="C22" i="4"/>
  <c r="C14" i="4"/>
  <c r="C28" i="4"/>
  <c r="C20" i="4"/>
  <c r="C12" i="4"/>
  <c r="C27" i="4"/>
  <c r="C19" i="4"/>
  <c r="B34" i="4"/>
  <c r="L30" i="4" a="1"/>
  <c r="L30" i="4" s="1"/>
  <c r="K30" i="4"/>
  <c r="K30" i="4" a="1"/>
  <c r="J30" i="4" a="1"/>
  <c r="J30" i="4" s="1"/>
  <c r="I30" i="4" a="1"/>
  <c r="I30" i="4" s="1"/>
  <c r="H30" i="4" a="1"/>
  <c r="H30" i="4" s="1"/>
  <c r="G30" i="4"/>
  <c r="G30" i="4" a="1"/>
  <c r="L29" i="4"/>
  <c r="L29" i="4" a="1"/>
  <c r="K29" i="4" a="1"/>
  <c r="K29" i="4" s="1"/>
  <c r="J29" i="4"/>
  <c r="J29" i="4" a="1"/>
  <c r="I29" i="4" a="1"/>
  <c r="I29" i="4" s="1"/>
  <c r="H29" i="4"/>
  <c r="H29" i="4" a="1"/>
  <c r="G29" i="4" a="1"/>
  <c r="G29" i="4" s="1"/>
  <c r="L28" i="4" a="1"/>
  <c r="L28" i="4" s="1"/>
  <c r="K28" i="4"/>
  <c r="K28" i="4" a="1"/>
  <c r="J28" i="4" a="1"/>
  <c r="J28" i="4" s="1"/>
  <c r="I28" i="4"/>
  <c r="I28" i="4" a="1"/>
  <c r="H28" i="4" a="1"/>
  <c r="H28" i="4" s="1"/>
  <c r="G28" i="4" a="1"/>
  <c r="G28" i="4" s="1"/>
  <c r="L27" i="4" a="1"/>
  <c r="L27" i="4" s="1"/>
  <c r="K27" i="4" a="1"/>
  <c r="K27" i="4" s="1"/>
  <c r="J27" i="4"/>
  <c r="J27" i="4" a="1"/>
  <c r="I27" i="4" a="1"/>
  <c r="I27" i="4" s="1"/>
  <c r="H27" i="4" a="1"/>
  <c r="H27" i="4" s="1"/>
  <c r="G27" i="4" a="1"/>
  <c r="G27" i="4" s="1"/>
  <c r="L26" i="4" a="1"/>
  <c r="L26" i="4" s="1"/>
  <c r="K26" i="4"/>
  <c r="K26" i="4" a="1"/>
  <c r="J26" i="4" a="1"/>
  <c r="J26" i="4" s="1"/>
  <c r="I26" i="4" a="1"/>
  <c r="I26" i="4" s="1"/>
  <c r="H26" i="4" a="1"/>
  <c r="H26" i="4" s="1"/>
  <c r="G26" i="4"/>
  <c r="G26" i="4" a="1"/>
  <c r="L25" i="4"/>
  <c r="L25" i="4" a="1"/>
  <c r="K25" i="4" a="1"/>
  <c r="K25" i="4" s="1"/>
  <c r="J25" i="4" a="1"/>
  <c r="J25" i="4" s="1"/>
  <c r="I25" i="4" a="1"/>
  <c r="I25" i="4" s="1"/>
  <c r="H25" i="4"/>
  <c r="H25" i="4" a="1"/>
  <c r="G25" i="4" a="1"/>
  <c r="G25" i="4" s="1"/>
  <c r="L24" i="4" a="1"/>
  <c r="L24" i="4" s="1"/>
  <c r="K24" i="4" a="1"/>
  <c r="K24" i="4" s="1"/>
  <c r="J24" i="4" a="1"/>
  <c r="J24" i="4" s="1"/>
  <c r="I24" i="4"/>
  <c r="I24" i="4" a="1"/>
  <c r="H24" i="4" a="1"/>
  <c r="H24" i="4" s="1"/>
  <c r="G24" i="4" a="1"/>
  <c r="G24" i="4" s="1"/>
  <c r="L23" i="4" a="1"/>
  <c r="L23" i="4" s="1"/>
  <c r="K23" i="4" a="1"/>
  <c r="K23" i="4" s="1"/>
  <c r="J23" i="4"/>
  <c r="J23" i="4" a="1"/>
  <c r="I23" i="4" a="1"/>
  <c r="I23" i="4" s="1"/>
  <c r="H23" i="4"/>
  <c r="H23" i="4" a="1"/>
  <c r="G23" i="4" a="1"/>
  <c r="G23" i="4" s="1"/>
  <c r="L22" i="4" a="1"/>
  <c r="L22" i="4" s="1"/>
  <c r="K22" i="4"/>
  <c r="K22" i="4" a="1"/>
  <c r="J22" i="4" a="1"/>
  <c r="J22" i="4" s="1"/>
  <c r="I22" i="4" a="1"/>
  <c r="I22" i="4" s="1"/>
  <c r="H22" i="4" a="1"/>
  <c r="H22" i="4" s="1"/>
  <c r="G22" i="4"/>
  <c r="G22" i="4" a="1"/>
  <c r="L21" i="4"/>
  <c r="L21" i="4" a="1"/>
  <c r="K21" i="4" a="1"/>
  <c r="K21" i="4" s="1"/>
  <c r="J21" i="4"/>
  <c r="J21" i="4" a="1"/>
  <c r="I21" i="4" a="1"/>
  <c r="I21" i="4" s="1"/>
  <c r="H21" i="4"/>
  <c r="H21" i="4" a="1"/>
  <c r="G21" i="4" a="1"/>
  <c r="G21" i="4" s="1"/>
  <c r="L20" i="4" a="1"/>
  <c r="L20" i="4" s="1"/>
  <c r="K20" i="4" a="1"/>
  <c r="K20" i="4" s="1"/>
  <c r="J20" i="4" a="1"/>
  <c r="J20" i="4" s="1"/>
  <c r="I20" i="4"/>
  <c r="I20" i="4" a="1"/>
  <c r="H20" i="4" a="1"/>
  <c r="H20" i="4" s="1"/>
  <c r="G20" i="4" a="1"/>
  <c r="G20" i="4" s="1"/>
  <c r="L19" i="4"/>
  <c r="L19" i="4" a="1"/>
  <c r="K19" i="4" a="1"/>
  <c r="K19" i="4" s="1"/>
  <c r="J19" i="4"/>
  <c r="J19" i="4" a="1"/>
  <c r="I19" i="4" a="1"/>
  <c r="I19" i="4" s="1"/>
  <c r="H19" i="4" a="1"/>
  <c r="H19" i="4" s="1"/>
  <c r="G19" i="4" a="1"/>
  <c r="G19" i="4" s="1"/>
  <c r="L18" i="4" a="1"/>
  <c r="L18" i="4" s="1"/>
  <c r="K18" i="4"/>
  <c r="K18" i="4" a="1"/>
  <c r="J18" i="4" a="1"/>
  <c r="J18" i="4" s="1"/>
  <c r="I18" i="4" a="1"/>
  <c r="I18" i="4" s="1"/>
  <c r="H18" i="4" a="1"/>
  <c r="H18" i="4" s="1"/>
  <c r="G18" i="4"/>
  <c r="G18" i="4" a="1"/>
  <c r="L17" i="4"/>
  <c r="L17" i="4" a="1"/>
  <c r="K17" i="4" a="1"/>
  <c r="K17" i="4" s="1"/>
  <c r="J17" i="4" a="1"/>
  <c r="J17" i="4" s="1"/>
  <c r="I17" i="4" a="1"/>
  <c r="I17" i="4" s="1"/>
  <c r="H17" i="4"/>
  <c r="H17" i="4" a="1"/>
  <c r="G17" i="4" a="1"/>
  <c r="G17" i="4" s="1"/>
  <c r="L16" i="4" a="1"/>
  <c r="L16" i="4" s="1"/>
  <c r="K16" i="4" a="1"/>
  <c r="K16" i="4" s="1"/>
  <c r="J16" i="4" a="1"/>
  <c r="J16" i="4" s="1"/>
  <c r="I16" i="4"/>
  <c r="I16" i="4" a="1"/>
  <c r="H16" i="4" a="1"/>
  <c r="H16" i="4" s="1"/>
  <c r="G16" i="4"/>
  <c r="G16" i="4" a="1"/>
  <c r="L15" i="4" a="1"/>
  <c r="L15" i="4" s="1"/>
  <c r="K15" i="4" a="1"/>
  <c r="K15" i="4" s="1"/>
  <c r="J15" i="4"/>
  <c r="J15" i="4" a="1"/>
  <c r="I15" i="4" a="1"/>
  <c r="I15" i="4" s="1"/>
  <c r="H15" i="4" a="1"/>
  <c r="H15" i="4" s="1"/>
  <c r="G15" i="4" a="1"/>
  <c r="G15" i="4" s="1"/>
  <c r="L14" i="4" a="1"/>
  <c r="L14" i="4" s="1"/>
  <c r="K14" i="4"/>
  <c r="K14" i="4" a="1"/>
  <c r="J14" i="4" a="1"/>
  <c r="J14" i="4" s="1"/>
  <c r="I14" i="4"/>
  <c r="I14" i="4" a="1"/>
  <c r="H14" i="4" a="1"/>
  <c r="H14" i="4" s="1"/>
  <c r="G14" i="4"/>
  <c r="G14" i="4" a="1"/>
  <c r="L13" i="4"/>
  <c r="L13" i="4" a="1"/>
  <c r="K13" i="4" a="1"/>
  <c r="K13" i="4" s="1"/>
  <c r="J13" i="4" a="1"/>
  <c r="J13" i="4" s="1"/>
  <c r="I13" i="4" a="1"/>
  <c r="I13" i="4" s="1"/>
  <c r="H13" i="4"/>
  <c r="H13" i="4" a="1"/>
  <c r="G13" i="4" a="1"/>
  <c r="G13" i="4" s="1"/>
  <c r="L12" i="4" a="1"/>
  <c r="L12" i="4" s="1"/>
  <c r="K12" i="4"/>
  <c r="K12" i="4" a="1"/>
  <c r="J12" i="4" a="1"/>
  <c r="J12" i="4" s="1"/>
  <c r="I12" i="4"/>
  <c r="I12" i="4" a="1"/>
  <c r="H12" i="4" a="1"/>
  <c r="H12" i="4" s="1"/>
  <c r="G12" i="4" a="1"/>
  <c r="G12" i="4" s="1"/>
  <c r="L11" i="4" a="1"/>
  <c r="L11" i="4" s="1"/>
  <c r="K11" i="4" a="1"/>
  <c r="K11" i="4" s="1"/>
  <c r="J11" i="4"/>
  <c r="J11" i="4" a="1"/>
  <c r="I11" i="4" a="1"/>
  <c r="I11" i="4" s="1"/>
  <c r="H11" i="4" a="1"/>
  <c r="H11" i="4" s="1"/>
  <c r="G11" i="4" a="1"/>
  <c r="G11" i="4" s="1"/>
  <c r="L10" i="4" a="1"/>
  <c r="L10" i="4" s="1"/>
  <c r="K10" i="4"/>
  <c r="K10" i="4" a="1"/>
  <c r="J10" i="4" a="1"/>
  <c r="J10" i="4" s="1"/>
  <c r="I10" i="4" a="1"/>
  <c r="I10" i="4" s="1"/>
  <c r="H10" i="4" a="1"/>
  <c r="H10" i="4" s="1"/>
  <c r="G10" i="4"/>
  <c r="G10" i="4" a="1"/>
  <c r="L9" i="4"/>
  <c r="L9" i="4" a="1"/>
  <c r="K9" i="4" a="1"/>
  <c r="K9" i="4" s="1"/>
  <c r="J9" i="4" a="1"/>
  <c r="J9" i="4" s="1"/>
  <c r="I9" i="4" a="1"/>
  <c r="I9" i="4" s="1"/>
  <c r="H9" i="4" a="1"/>
  <c r="H9" i="4" s="1"/>
  <c r="G9" i="4" a="1"/>
  <c r="G9" i="4" s="1"/>
  <c r="L8" i="4" a="1"/>
  <c r="L8" i="4" s="1"/>
  <c r="K8" i="4" a="1"/>
  <c r="K8" i="4" s="1"/>
  <c r="J8" i="4" a="1"/>
  <c r="J8" i="4" s="1"/>
  <c r="I8" i="4" a="1"/>
  <c r="I8" i="4" s="1"/>
  <c r="H8" i="4" a="1"/>
  <c r="H8" i="4" s="1"/>
  <c r="G8" i="4" a="1"/>
  <c r="G8" i="4" s="1"/>
  <c r="L7" i="4" a="1"/>
  <c r="L7" i="4" s="1"/>
  <c r="K7" i="4" a="1"/>
  <c r="K7" i="4" s="1"/>
  <c r="J7" i="4" a="1"/>
  <c r="J7" i="4" s="1"/>
  <c r="I7" i="4" a="1"/>
  <c r="I7" i="4" s="1"/>
  <c r="H7" i="4" a="1"/>
  <c r="H7" i="4" s="1"/>
  <c r="G7" i="4" a="1"/>
  <c r="G7" i="4" s="1"/>
  <c r="B35" i="4" a="1"/>
  <c r="B35" i="4" s="1"/>
  <c r="A1" i="2"/>
  <c r="A1" i="1"/>
  <c r="A1" i="3"/>
</calcChain>
</file>

<file path=xl/sharedStrings.xml><?xml version="1.0" encoding="utf-8"?>
<sst xmlns="http://schemas.openxmlformats.org/spreadsheetml/2006/main" count="319" uniqueCount="55">
  <si>
    <t>&lt;?xml version="1.0"?&gt;&lt;WebTableParameter xmlns:xsd="http://www.w3.org/2001/XMLSchema" xmlns:xsi="http://www.w3.org/2001/XMLSchema-instance" xmlns=""&gt;&lt;DataTable Code="RES_PROP_INDEX" HasMetadata="true"&gt;&lt;Name LocaleIsoCode="en"&gt;Residential Property Price Indexes, All Series by GCCSA&lt;/Name&gt;&lt;Name LocaleIsoCode="fr"&gt;Residential Property Price Indexes, All Series by GCCSA&lt;/Name&gt;&lt;Dimension Code="MEASURE" Display="labels"&gt;&lt;Name LocaleIsoCode="en"&gt;Measure&lt;/Name&gt;&lt;Name LocaleIsoCode="fr"&gt;Measure&lt;/Name&gt;&lt;Member Code="1" HasOnlyUnitMetadata="false"&gt;&lt;Name LocaleIsoCode="en"&gt;Index Number&lt;/Name&gt;&lt;Name LocaleIsoCode="fr"&gt;Index Number&lt;/Name&gt;&lt;/Member&gt;&lt;Member Code="2" HasOnlyUnitMetadata="false"&gt;&lt;Name LocaleIsoCode="en"&gt;Percentage change from previous quarter&lt;/Name&gt;&lt;Name LocaleIsoCode="fr"&gt;Percentage change from previous quarter&lt;/Name&gt;&lt;/Member&gt;&lt;Member Code="3" HasOnlyUnitMetadata="false"&gt;&lt;Name LocaleIsoCode="en"&gt;Percentage change from corresponding quarter of the previous year&lt;/Name&gt;&lt;Name LocaleIsoCode="fr"&gt;Percentage change from corresponding quarter of the previous year&lt;/Name&gt;&lt;/Member&gt;&lt;/Dimension&gt;&lt;Dimension Code="PROP_TYPE" Display="labels"&gt;&lt;Name LocaleIsoCode="en"&gt;Property type&lt;/Name&gt;&lt;Name LocaleIsoCode="fr"&gt;Property type&lt;/Name&gt;&lt;Member Code="3" HasMetadata="true" HasOnlyUnitMetadata="false" IsDisplayed="true"&gt;&lt;Name LocaleIsoCode="en"&gt;Residential property&lt;/Name&gt;&lt;Name LocaleIsoCode="fr"&gt;Residential property&lt;/Name&gt;&lt;/Member&gt;&lt;Member Code="2" HasOnlyUnitMetadata="false"&gt;&lt;Name LocaleIsoCode="en"&gt;Established houses&lt;/Name&gt;&lt;Name LocaleIsoCode="fr"&gt;Established houses&lt;/Name&gt;&lt;/Member&gt;&lt;Member Code="1" HasMetadata="true" HasOnlyUnitMetadata="false"&gt;&lt;Name LocaleIsoCode="en"&gt;Attached dwellings&lt;/Name&gt;&lt;Name LocaleIsoCode="fr"&gt;Attached dwellings&lt;/Name&gt;&lt;/Member&gt;&lt;/Dimension&gt;&lt;Dimension Code="ASGS_2011" CommonCode="ASGS_2011" Display="labels"&gt;&lt;Name LocaleIsoCode="en"&gt;Region&lt;/Name&gt;&lt;Name LocaleIsoCode="fr"&gt;Region&lt;/Name&gt;&lt;Member Code="1GSYD" HasOnlyUnitMetadata="false"&gt;&lt;Name LocaleIsoCode="en"&gt;Greater Sydney&lt;/Name&gt;&lt;Name LocaleIsoCode="fr"&gt;Greater Sydney&lt;/Name&gt;&lt;/Member&gt;&lt;Member Code="2GMEL" HasOnlyUnitMetadata="false"&gt;&lt;Name LocaleIsoCode="en"&gt;Greater Melbourne&lt;/Name&gt;&lt;Name LocaleIsoCode="fr"&gt;Greater Melbourne&lt;/Name&gt;&lt;/Member&gt;&lt;Member Code="3GBRI" HasOnlyUnitMetadata="false"&gt;&lt;Name LocaleIsoCode="en"&gt;Greater Brisbane&lt;/Name&gt;&lt;Name LocaleIsoCode="fr"&gt;Greater Brisbane&lt;/Name&gt;&lt;/Member&gt;&lt;Member Code="4GADE" HasOnlyUnitMetadata="false"&gt;&lt;Name LocaleIsoCode="en"&gt;Greater Adelaide&lt;/Name&gt;&lt;Name LocaleIsoCode="fr"&gt;Greater Adelaide&lt;/Name&gt;&lt;/Member&gt;&lt;Member Code="5GPER" HasOnlyUnitMetadata="false"&gt;&lt;Name LocaleIsoCode="en"&gt;Greater Perth&lt;/Name&gt;&lt;Name LocaleIsoCode="fr"&gt;Greater Perth&lt;/Name&gt;&lt;/Member&gt;&lt;Member Code="6GHOB" HasOnlyUnitMetadata="false"&gt;&lt;Name LocaleIsoCode="en"&gt;Greater Hobart&lt;/Name&gt;&lt;Name LocaleIsoCode="fr"&gt;Greater Hobart&lt;/Name&gt;&lt;/Member&gt;&lt;Member Code="7GDAR" HasOnlyUnitMetadata="false"&gt;&lt;Name LocaleIsoCode="en"&gt;Greater Darwin&lt;/Name&gt;&lt;Name LocaleIsoCode="fr"&gt;Greater Darwin&lt;/Name&gt;&lt;/Member&gt;&lt;Member Code="8ACTE" HasOnlyUnitMetadata="false"&gt;&lt;Name LocaleIsoCode="en"&gt;Australian Capital Territory&lt;/Name&gt;&lt;Name LocaleIsoCode="fr"&gt;Australian Capital Territory&lt;/Name&gt;&lt;/Member&gt;&lt;Member Code="100" HasOnlyUnitMetadata="false"&gt;&lt;Name LocaleIsoCode="en"&gt;Weighted average of eight capital cities&lt;/Name&gt;&lt;Name LocaleIsoCode="fr"&gt;Weighted average of eight capital cities&lt;/Name&gt;&lt;/Member&gt;&lt;/Dimension&gt;&lt;Dimension Code="FREQUENCY" CommonCode="FREQUENCY" Display="labels"&gt;&lt;Name LocaleIsoCode="en"&gt;Frequency&lt;/Name&gt;&lt;Name LocaleIsoCode="fr"&gt;Frequency&lt;/Name&gt;&lt;Member Code="Q"&gt;&lt;Name LocaleIsoCode="en"&gt;Quarterly&lt;/Name&gt;&lt;Name LocaleIsoCode="fr"&gt;Trimestrielle&lt;/Name&gt;&lt;/Member&gt;&lt;/Dimension&gt;&lt;Dimension Code="TIME" CommonCode="TIME" Display="labels"&gt;&lt;Name LocaleIsoCode="en"&gt;Time&lt;/Name&gt;&lt;Name LocaleIsoCode="fr"&gt;Time&lt;/Name&gt;&lt;Member Code="2015Q3"&gt;&lt;Name LocaleIsoCode="en"&gt;Sep-2015&lt;/Name&gt;&lt;Name LocaleIsoCode="fr"&gt;Sept 2015&lt;/Name&gt;&lt;/Member&gt;&lt;Member Code="2015Q4"&gt;&lt;Name LocaleIsoCode="en"&gt;Dec-2015&lt;/Name&gt;&lt;Name LocaleIsoCode="fr"&gt;DÃ©c 2015&lt;/Name&gt;&lt;/Member&gt;&lt;Member Code="2016Q1"&gt;&lt;Name LocaleIsoCode="en"&gt;Mar-2016&lt;/Name&gt;&lt;Name LocaleIsoCode="fr"&gt;Mars 2016&lt;/Name&gt;&lt;/Member&gt;&lt;Member Code="2016Q2"&gt;&lt;Name LocaleIsoCode="en"&gt;Jun-2016&lt;/Name&gt;&lt;Name LocaleIsoCode="fr"&gt;Juin 2016&lt;/Name&gt;&lt;/Member&gt;&lt;Member Code="2016Q3"&gt;&lt;Name LocaleIsoCode="en"&gt;Sep-2016&lt;/Name&gt;&lt;Name LocaleIsoCode="fr"&gt;Sept 2016&lt;/Name&gt;&lt;/Member&gt;&lt;Member Code="2016Q4"&gt;&lt;Name LocaleIsoCode="en"&gt;Dec-2016&lt;/Name&gt;&lt;Name LocaleIsoCode="fr"&gt;DÃ©c 2016&lt;/Name&gt;&lt;/Member&gt;&lt;Member Code="2017Q1"&gt;&lt;Name LocaleIsoCode="en"&gt;Mar-2017&lt;/Name&gt;&lt;Name LocaleIsoCode="fr"&gt;Mars 2017&lt;/Name&gt;&lt;/Member&gt;&lt;Member Code="2017Q2"&gt;&lt;Name LocaleIsoCode="en"&gt;Jun-2017&lt;/Name&gt;&lt;Name LocaleIsoCode="fr"&gt;Juin 2017&lt;/Name&gt;&lt;/Member&gt;&lt;/Dimension&gt;&lt;WBOSInformations&gt;&lt;TimeDimension WebTreeWasUsed="false"&gt;&lt;NumberOfPeriods Annual="0" Semesters="0" Quarters="8" Months="0" Weeks="0" Days="0" /&gt;&lt;/TimeDimension&gt;&lt;/WBOSInformations&gt;&lt;Tabulation Axis="horizontal"&gt;&lt;Dimension Code="ASGS_2011" CommonCode="ASGS_2011" /&gt;&lt;/Tabulation&gt;&lt;Tabulation Axis="vertical"&gt;&lt;Dimension Code="MEASURE" /&gt;&lt;Dimension Code="TIME" CommonCode="TIME" /&gt;&lt;/Tabulation&gt;&lt;Tabulation Axis="page"&gt;&lt;Dimension Code="PROP_TYPE" /&gt;&lt;Dimension Code="FREQUENCY" CommonCode="FREQUENCY" /&gt;&lt;/Tabulation&gt;&lt;Formatting&gt;&lt;Labels LocaleIsoCode="en" /&gt;&lt;Power&gt;0&lt;/Power&gt;&lt;Decimals&gt;-1&lt;/Decimals&gt;&lt;SkipEmptyLines&gt;false&lt;/SkipEmptyLines&gt;&lt;SkipEmptyCols&gt;false&lt;/SkipEmptyCols&gt;&lt;SkipLineHierarchy&gt;false&lt;/SkipLineHierarchy&gt;&lt;SkipColHierarchy&gt;false&lt;/SkipColHierarchy&gt;&lt;Page&gt;1&lt;/Page&gt;&lt;/Formatting&gt;&lt;/DataTable&gt;&lt;Format&gt;&lt;ShowEmptyAxes&gt;true&lt;/ShowEmptyAxes&gt;&lt;Page&gt;1&lt;/Page&gt;&lt;EnableSort&gt;true&lt;/EnableSort&gt;&lt;IncludeFlagColumn&gt;false&lt;/IncludeFlagColumn&gt;&lt;IncludeTimeSeriesId&gt;false&lt;/IncludeTimeSeriesId&gt;&lt;DoBarChart&gt;false&lt;/DoBarChart&gt;&lt;FreezePanes&gt;true&lt;/FreezePanes&gt;&lt;MaxBarChartLen&gt;65&lt;/MaxBarChartLen&gt;&lt;/Format&gt;&lt;Query&gt;&lt;AbsoluteUri&gt;http://stat.data.abs.gov.au//View.aspx?QueryId=&amp;amp;QueryType=Public&amp;amp;Lang=en&lt;/AbsoluteUri&gt;&lt;/Query&gt;&lt;/WebTableParameter&gt;</t>
  </si>
  <si>
    <t>Dataset: Residential Property Price Indexes, All Series by GCCSA</t>
  </si>
  <si>
    <t>Property type</t>
  </si>
  <si>
    <t>Residential property</t>
  </si>
  <si>
    <t>Frequency</t>
  </si>
  <si>
    <t>Quarterly</t>
  </si>
  <si>
    <t>Region</t>
  </si>
  <si>
    <t>Greater Sydney</t>
  </si>
  <si>
    <t>Greater Melbourne</t>
  </si>
  <si>
    <t>Greater Brisbane</t>
  </si>
  <si>
    <t>Greater Adelaide</t>
  </si>
  <si>
    <t>Greater Perth</t>
  </si>
  <si>
    <t>Greater Hobart</t>
  </si>
  <si>
    <t>Greater Darwin</t>
  </si>
  <si>
    <t>Australian Capital Territory</t>
  </si>
  <si>
    <t>Weighted average of eight capital cities</t>
  </si>
  <si>
    <t>Measure</t>
  </si>
  <si>
    <t>Time</t>
  </si>
  <si>
    <t/>
  </si>
  <si>
    <t>Index Number</t>
  </si>
  <si>
    <t>Sep-2015</t>
  </si>
  <si>
    <t>Dec-2015</t>
  </si>
  <si>
    <t>Mar-2016</t>
  </si>
  <si>
    <t>Jun-2016</t>
  </si>
  <si>
    <t>Sep-2016</t>
  </si>
  <si>
    <t>Dec-2016</t>
  </si>
  <si>
    <t>Mar-2017</t>
  </si>
  <si>
    <t>Jun-2017</t>
  </si>
  <si>
    <t>Percentage change from previous quarter</t>
  </si>
  <si>
    <t>Percentage change from corresponding quarter of the previous year</t>
  </si>
  <si>
    <t>Data extracted on 03 Oct 2017 08:41 UTC (GMT) from ABS.Stat © Commonwealth of Australia. Creative Commons Attribution 2.5 Australia (https://creativecommons.org/licenses/by/2.5/au)</t>
  </si>
  <si>
    <t>&lt;?xml version="1.0"?&gt;&lt;WebTableParameter xmlns:xsd="http://www.w3.org/2001/XMLSchema" xmlns:xsi="http://www.w3.org/2001/XMLSchema-instance" xmlns=""&gt;&lt;DataTable Code="RES_PROP_INDEX" HasMetadata="true"&gt;&lt;Name LocaleIsoCode="en"&gt;Residential Property Price Indexes, All Series by GCCSA&lt;/Name&gt;&lt;Name LocaleIsoCode="fr"&gt;Residential Property Price Indexes, All Series by GCCSA&lt;/Name&gt;&lt;Dimension Code="MEASURE" Display="labels"&gt;&lt;Name LocaleIsoCode="en"&gt;Measure&lt;/Name&gt;&lt;Name LocaleIsoCode="fr"&gt;Measure&lt;/Name&gt;&lt;Member Code="1" HasOnlyUnitMetadata="false"&gt;&lt;Name LocaleIsoCode="en"&gt;Index Number&lt;/Name&gt;&lt;Name LocaleIsoCode="fr"&gt;Index Number&lt;/Name&gt;&lt;/Member&gt;&lt;Member Code="2" HasOnlyUnitMetadata="false"&gt;&lt;Name LocaleIsoCode="en"&gt;Percentage change from previous quarter&lt;/Name&gt;&lt;Name LocaleIsoCode="fr"&gt;Percentage change from previous quarter&lt;/Name&gt;&lt;/Member&gt;&lt;Member Code="3" HasOnlyUnitMetadata="false"&gt;&lt;Name LocaleIsoCode="en"&gt;Percentage change from corresponding quarter of the previous year&lt;/Name&gt;&lt;Name LocaleIsoCode="fr"&gt;Percentage change from corresponding quarter of the previous year&lt;/Name&gt;&lt;/Member&gt;&lt;/Dimension&gt;&lt;Dimension Code="PROP_TYPE" Display="labels"&gt;&lt;Name LocaleIsoCode="en"&gt;Property type&lt;/Name&gt;&lt;Name LocaleIsoCode="fr"&gt;Property type&lt;/Name&gt;&lt;Member Code="3" HasMetadata="true" HasOnlyUnitMetadata="false"&gt;&lt;Name LocaleIsoCode="en"&gt;Residential property&lt;/Name&gt;&lt;Name LocaleIsoCode="fr"&gt;Residential property&lt;/Name&gt;&lt;/Member&gt;&lt;Member Code="2" HasOnlyUnitMetadata="false" IsDisplayed="true"&gt;&lt;Name LocaleIsoCode="en"&gt;Established houses&lt;/Name&gt;&lt;Name LocaleIsoCode="fr"&gt;Established houses&lt;/Name&gt;&lt;/Member&gt;&lt;Member Code="1" HasMetadata="true" HasOnlyUnitMetadata="false"&gt;&lt;Name LocaleIsoCode="en"&gt;Attached dwellings&lt;/Name&gt;&lt;Name LocaleIsoCode="fr"&gt;Attached dwellings&lt;/Name&gt;&lt;/Member&gt;&lt;/Dimension&gt;&lt;Dimension Code="ASGS_2011" CommonCode="ASGS_2011" Display="labels"&gt;&lt;Name LocaleIsoCode="en"&gt;Region&lt;/Name&gt;&lt;Name LocaleIsoCode="fr"&gt;Region&lt;/Name&gt;&lt;Member Code="1GSYD" HasOnlyUnitMetadata="false"&gt;&lt;Name LocaleIsoCode="en"&gt;Greater Sydney&lt;/Name&gt;&lt;Name LocaleIsoCode="fr"&gt;Greater Sydney&lt;/Name&gt;&lt;/Member&gt;&lt;Member Code="2GMEL" HasOnlyUnitMetadata="false"&gt;&lt;Name LocaleIsoCode="en"&gt;Greater Melbourne&lt;/Name&gt;&lt;Name LocaleIsoCode="fr"&gt;Greater Melbourne&lt;/Name&gt;&lt;/Member&gt;&lt;Member Code="3GBRI" HasOnlyUnitMetadata="false"&gt;&lt;Name LocaleIsoCode="en"&gt;Greater Brisbane&lt;/Name&gt;&lt;Name LocaleIsoCode="fr"&gt;Greater Brisbane&lt;/Name&gt;&lt;/Member&gt;&lt;Member Code="4GADE" HasOnlyUnitMetadata="false"&gt;&lt;Name LocaleIsoCode="en"&gt;Greater Adelaide&lt;/Name&gt;&lt;Name LocaleIsoCode="fr"&gt;Greater Adelaide&lt;/Name&gt;&lt;/Member&gt;&lt;Member Code="5GPER" HasOnlyUnitMetadata="false"&gt;&lt;Name LocaleIsoCode="en"&gt;Greater Perth&lt;/Name&gt;&lt;Name LocaleIsoCode="fr"&gt;Greater Perth&lt;/Name&gt;&lt;/Member&gt;&lt;Member Code="6GHOB" HasOnlyUnitMetadata="false"&gt;&lt;Name LocaleIsoCode="en"&gt;Greater Hobart&lt;/Name&gt;&lt;Name LocaleIsoCode="fr"&gt;Greater Hobart&lt;/Name&gt;&lt;/Member&gt;&lt;Member Code="7GDAR" HasOnlyUnitMetadata="false"&gt;&lt;Name LocaleIsoCode="en"&gt;Greater Darwin&lt;/Name&gt;&lt;Name LocaleIsoCode="fr"&gt;Greater Darwin&lt;/Name&gt;&lt;/Member&gt;&lt;Member Code="8ACTE" HasOnlyUnitMetadata="false"&gt;&lt;Name LocaleIsoCode="en"&gt;Australian Capital Territory&lt;/Name&gt;&lt;Name LocaleIsoCode="fr"&gt;Australian Capital Territory&lt;/Name&gt;&lt;/Member&gt;&lt;Member Code="100" HasOnlyUnitMetadata="false"&gt;&lt;Name LocaleIsoCode="en"&gt;Weighted average of eight capital cities&lt;/Name&gt;&lt;Name LocaleIsoCode="fr"&gt;Weighted average of eight capital cities&lt;/Name&gt;&lt;/Member&gt;&lt;/Dimension&gt;&lt;Dimension Code="FREQUENCY" CommonCode="FREQUENCY" Display="labels"&gt;&lt;Name LocaleIsoCode="en"&gt;Frequency&lt;/Name&gt;&lt;Name LocaleIsoCode="fr"&gt;Frequency&lt;/Name&gt;&lt;Member Code="Q"&gt;&lt;Name LocaleIsoCode="en"&gt;Quarterly&lt;/Name&gt;&lt;Name LocaleIsoCode="fr"&gt;Trimestrielle&lt;/Name&gt;&lt;/Member&gt;&lt;/Dimension&gt;&lt;Dimension Code="TIME" CommonCode="TIME" Display="labels"&gt;&lt;Name LocaleIsoCode="en"&gt;Time&lt;/Name&gt;&lt;Name LocaleIsoCode="fr"&gt;Time&lt;/Name&gt;&lt;Member Code="2015Q3"&gt;&lt;Name LocaleIsoCode="en"&gt;Sep-2015&lt;/Name&gt;&lt;Name LocaleIsoCode="fr"&gt;Sept 2015&lt;/Name&gt;&lt;/Member&gt;&lt;Member Code="2015Q4"&gt;&lt;Name LocaleIsoCode="en"&gt;Dec-2015&lt;/Name&gt;&lt;Name LocaleIsoCode="fr"&gt;DÃ©c 2015&lt;/Name&gt;&lt;/Member&gt;&lt;Member Code="2016Q1"&gt;&lt;Name LocaleIsoCode="en"&gt;Mar-2016&lt;/Name&gt;&lt;Name LocaleIsoCode="fr"&gt;Mars 2016&lt;/Name&gt;&lt;/Member&gt;&lt;Member Code="2016Q2"&gt;&lt;Name LocaleIsoCode="en"&gt;Jun-2016&lt;/Name&gt;&lt;Name LocaleIsoCode="fr"&gt;Juin 2016&lt;/Name&gt;&lt;/Member&gt;&lt;Member Code="2016Q3"&gt;&lt;Name LocaleIsoCode="en"&gt;Sep-2016&lt;/Name&gt;&lt;Name LocaleIsoCode="fr"&gt;Sept 2016&lt;/Name&gt;&lt;/Member&gt;&lt;Member Code="2016Q4"&gt;&lt;Name LocaleIsoCode="en"&gt;Dec-2016&lt;/Name&gt;&lt;Name LocaleIsoCode="fr"&gt;DÃ©c 2016&lt;/Name&gt;&lt;/Member&gt;&lt;Member Code="2017Q1"&gt;&lt;Name LocaleIsoCode="en"&gt;Mar-2017&lt;/Name&gt;&lt;Name LocaleIsoCode="fr"&gt;Mars 2017&lt;/Name&gt;&lt;/Member&gt;&lt;Member Code="2017Q2"&gt;&lt;Name LocaleIsoCode="en"&gt;Jun-2017&lt;/Name&gt;&lt;Name LocaleIsoCode="fr"&gt;Juin 2017&lt;/Name&gt;&lt;/Member&gt;&lt;/Dimension&gt;&lt;WBOSInformations&gt;&lt;TimeDimension WebTreeWasUsed="false"&gt;&lt;NumberOfPeriods Annual="0" Semesters="0" Quarters="8" Months="0" Weeks="0" Days="0" /&gt;&lt;/TimeDimension&gt;&lt;/WBOSInformations&gt;&lt;Tabulation Axis="horizontal"&gt;&lt;Dimension Code="ASGS_2011" CommonCode="ASGS_2011" /&gt;&lt;/Tabulation&gt;&lt;Tabulation Axis="vertical"&gt;&lt;Dimension Code="MEASURE" /&gt;&lt;Dimension Code="TIME" CommonCode="TIME" /&gt;&lt;/Tabulation&gt;&lt;Tabulation Axis="page"&gt;&lt;Dimension Code="PROP_TYPE" /&gt;&lt;Dimension Code="FREQUENCY" CommonCode="FREQUENCY" /&gt;&lt;/Tabulation&gt;&lt;Formatting&gt;&lt;Labels LocaleIsoCode="en" /&gt;&lt;Power&gt;0&lt;/Power&gt;&lt;Decimals&gt;-1&lt;/Decimals&gt;&lt;SkipEmptyLines&gt;false&lt;/SkipEmptyLines&gt;&lt;SkipEmptyCols&gt;false&lt;/SkipEmptyCols&gt;&lt;SkipLineHierarchy&gt;false&lt;/SkipLineHierarchy&gt;&lt;SkipColHierarchy&gt;false&lt;/SkipColHierarchy&gt;&lt;Page&gt;1&lt;/Page&gt;&lt;/Formatting&gt;&lt;/DataTable&gt;&lt;Format&gt;&lt;ShowEmptyAxes&gt;true&lt;/ShowEmptyAxes&gt;&lt;Page&gt;1&lt;/Page&gt;&lt;EnableSort&gt;true&lt;/EnableSort&gt;&lt;IncludeFlagColumn&gt;false&lt;/IncludeFlagColumn&gt;&lt;IncludeTimeSeriesId&gt;false&lt;/IncludeTimeSeriesId&gt;&lt;DoBarChart&gt;false&lt;/DoBarChart&gt;&lt;FreezePanes&gt;true&lt;/FreezePanes&gt;&lt;MaxBarChartLen&gt;65&lt;/MaxBarChartLen&gt;&lt;/Format&gt;&lt;Query&gt;&lt;AbsoluteUri&gt;http://stat.data.abs.gov.au//View.aspx?QueryId=&amp;amp;QueryType=Public&amp;amp;Lang=en&lt;/AbsoluteUri&gt;&lt;/Query&gt;&lt;/WebTableParameter&gt;</t>
  </si>
  <si>
    <t>Established houses</t>
  </si>
  <si>
    <t>Data extracted on 03 Oct 2017 08:43 UTC (GMT) from ABS.Stat © Commonwealth of Australia. Creative Commons Attribution 2.5 Australia (https://creativecommons.org/licenses/by/2.5/au)</t>
  </si>
  <si>
    <t>&lt;?xml version="1.0"?&gt;&lt;WebTableParameter xmlns:xsd="http://www.w3.org/2001/XMLSchema" xmlns:xsi="http://www.w3.org/2001/XMLSchema-instance" xmlns=""&gt;&lt;DataTable Code="RES_PROP_INDEX" HasMetadata="true"&gt;&lt;Name LocaleIsoCode="en"&gt;Residential Property Price Indexes, All Series by GCCSA&lt;/Name&gt;&lt;Name LocaleIsoCode="fr"&gt;Residential Property Price Indexes, All Series by GCCSA&lt;/Name&gt;&lt;Dimension Code="MEASURE" Display="labels"&gt;&lt;Name LocaleIsoCode="en"&gt;Measure&lt;/Name&gt;&lt;Name LocaleIsoCode="fr"&gt;Measure&lt;/Name&gt;&lt;Member Code="1" HasOnlyUnitMetadata="false"&gt;&lt;Name LocaleIsoCode="en"&gt;Index Number&lt;/Name&gt;&lt;Name LocaleIsoCode="fr"&gt;Index Number&lt;/Name&gt;&lt;/Member&gt;&lt;Member Code="2" HasOnlyUnitMetadata="false"&gt;&lt;Name LocaleIsoCode="en"&gt;Percentage change from previous quarter&lt;/Name&gt;&lt;Name LocaleIsoCode="fr"&gt;Percentage change from previous quarter&lt;/Name&gt;&lt;/Member&gt;&lt;Member Code="3" HasOnlyUnitMetadata="false"&gt;&lt;Name LocaleIsoCode="en"&gt;Percentage change from corresponding quarter of the previous year&lt;/Name&gt;&lt;Name LocaleIsoCode="fr"&gt;Percentage change from corresponding quarter of the previous year&lt;/Name&gt;&lt;/Member&gt;&lt;/Dimension&gt;&lt;Dimension Code="PROP_TYPE" Display="labels"&gt;&lt;Name LocaleIsoCode="en"&gt;Property type&lt;/Name&gt;&lt;Name LocaleIsoCode="fr"&gt;Property type&lt;/Name&gt;&lt;Member Code="3" HasMetadata="true" HasOnlyUnitMetadata="false"&gt;&lt;Name LocaleIsoCode="en"&gt;Residential property&lt;/Name&gt;&lt;Name LocaleIsoCode="fr"&gt;Residential property&lt;/Name&gt;&lt;/Member&gt;&lt;Member Code="2" HasOnlyUnitMetadata="false"&gt;&lt;Name LocaleIsoCode="en"&gt;Established houses&lt;/Name&gt;&lt;Name LocaleIsoCode="fr"&gt;Established houses&lt;/Name&gt;&lt;/Member&gt;&lt;Member Code="1" HasMetadata="true" HasOnlyUnitMetadata="false" IsDisplayed="true"&gt;&lt;Name LocaleIsoCode="en"&gt;Attached dwellings&lt;/Name&gt;&lt;Name LocaleIsoCode="fr"&gt;Attached dwellings&lt;/Name&gt;&lt;/Member&gt;&lt;/Dimension&gt;&lt;Dimension Code="ASGS_2011" CommonCode="ASGS_2011" Display="labels"&gt;&lt;Name LocaleIsoCode="en"&gt;Region&lt;/Name&gt;&lt;Name LocaleIsoCode="fr"&gt;Region&lt;/Name&gt;&lt;Member Code="1GSYD" HasOnlyUnitMetadata="false"&gt;&lt;Name LocaleIsoCode="en"&gt;Greater Sydney&lt;/Name&gt;&lt;Name LocaleIsoCode="fr"&gt;Greater Sydney&lt;/Name&gt;&lt;/Member&gt;&lt;Member Code="2GMEL" HasOnlyUnitMetadata="false"&gt;&lt;Name LocaleIsoCode="en"&gt;Greater Melbourne&lt;/Name&gt;&lt;Name LocaleIsoCode="fr"&gt;Greater Melbourne&lt;/Name&gt;&lt;/Member&gt;&lt;Member Code="3GBRI" HasOnlyUnitMetadata="false"&gt;&lt;Name LocaleIsoCode="en"&gt;Greater Brisbane&lt;/Name&gt;&lt;Name LocaleIsoCode="fr"&gt;Greater Brisbane&lt;/Name&gt;&lt;/Member&gt;&lt;Member Code="4GADE" HasOnlyUnitMetadata="false"&gt;&lt;Name LocaleIsoCode="en"&gt;Greater Adelaide&lt;/Name&gt;&lt;Name LocaleIsoCode="fr"&gt;Greater Adelaide&lt;/Name&gt;&lt;/Member&gt;&lt;Member Code="5GPER" HasOnlyUnitMetadata="false"&gt;&lt;Name LocaleIsoCode="en"&gt;Greater Perth&lt;/Name&gt;&lt;Name LocaleIsoCode="fr"&gt;Greater Perth&lt;/Name&gt;&lt;/Member&gt;&lt;Member Code="6GHOB" HasOnlyUnitMetadata="false"&gt;&lt;Name LocaleIsoCode="en"&gt;Greater Hobart&lt;/Name&gt;&lt;Name LocaleIsoCode="fr"&gt;Greater Hobart&lt;/Name&gt;&lt;/Member&gt;&lt;Member Code="7GDAR" HasOnlyUnitMetadata="false"&gt;&lt;Name LocaleIsoCode="en"&gt;Greater Darwin&lt;/Name&gt;&lt;Name LocaleIsoCode="fr"&gt;Greater Darwin&lt;/Name&gt;&lt;/Member&gt;&lt;Member Code="8ACTE" HasOnlyUnitMetadata="false"&gt;&lt;Name LocaleIsoCode="en"&gt;Australian Capital Territory&lt;/Name&gt;&lt;Name LocaleIsoCode="fr"&gt;Australian Capital Territory&lt;/Name&gt;&lt;/Member&gt;&lt;Member Code="100" HasOnlyUnitMetadata="false"&gt;&lt;Name LocaleIsoCode="en"&gt;Weighted average of eight capital cities&lt;/Name&gt;&lt;Name LocaleIsoCode="fr"&gt;Weighted average of eight capital cities&lt;/Name&gt;&lt;/Member&gt;&lt;/Dimension&gt;&lt;Dimension Code="FREQUENCY" CommonCode="FREQUENCY" Display="labels"&gt;&lt;Name LocaleIsoCode="en"&gt;Frequency&lt;/Name&gt;&lt;Name LocaleIsoCode="fr"&gt;Frequency&lt;/Name&gt;&lt;Member Code="Q"&gt;&lt;Name LocaleIsoCode="en"&gt;Quarterly&lt;/Name&gt;&lt;Name LocaleIsoCode="fr"&gt;Trimestrielle&lt;/Name&gt;&lt;/Member&gt;&lt;/Dimension&gt;&lt;Dimension Code="TIME" CommonCode="TIME" Display="labels"&gt;&lt;Name LocaleIsoCode="en"&gt;Time&lt;/Name&gt;&lt;Name LocaleIsoCode="fr"&gt;Time&lt;/Name&gt;&lt;Member Code="2015Q3"&gt;&lt;Name LocaleIsoCode="en"&gt;Sep-2015&lt;/Name&gt;&lt;Name LocaleIsoCode="fr"&gt;Sept 2015&lt;/Name&gt;&lt;/Member&gt;&lt;Member Code="2015Q4"&gt;&lt;Name LocaleIsoCode="en"&gt;Dec-2015&lt;/Name&gt;&lt;Name LocaleIsoCode="fr"&gt;DÃ©c 2015&lt;/Name&gt;&lt;/Member&gt;&lt;Member Code="2016Q1"&gt;&lt;Name LocaleIsoCode="en"&gt;Mar-2016&lt;/Name&gt;&lt;Name LocaleIsoCode="fr"&gt;Mars 2016&lt;/Name&gt;&lt;/Member&gt;&lt;Member Code="2016Q2"&gt;&lt;Name LocaleIsoCode="en"&gt;Jun-2016&lt;/Name&gt;&lt;Name LocaleIsoCode="fr"&gt;Juin 2016&lt;/Name&gt;&lt;/Member&gt;&lt;Member Code="2016Q3"&gt;&lt;Name LocaleIsoCode="en"&gt;Sep-2016&lt;/Name&gt;&lt;Name LocaleIsoCode="fr"&gt;Sept 2016&lt;/Name&gt;&lt;/Member&gt;&lt;Member Code="2016Q4"&gt;&lt;Name LocaleIsoCode="en"&gt;Dec-2016&lt;/Name&gt;&lt;Name LocaleIsoCode="fr"&gt;DÃ©c 2016&lt;/Name&gt;&lt;/Member&gt;&lt;Member Code="2017Q1"&gt;&lt;Name LocaleIsoCode="en"&gt;Mar-2017&lt;/Name&gt;&lt;Name LocaleIsoCode="fr"&gt;Mars 2017&lt;/Name&gt;&lt;/Member&gt;&lt;Member Code="2017Q2"&gt;&lt;Name LocaleIsoCode="en"&gt;Jun-2017&lt;/Name&gt;&lt;Name LocaleIsoCode="fr"&gt;Juin 2017&lt;/Name&gt;&lt;/Member&gt;&lt;/Dimension&gt;&lt;WBOSInformations&gt;&lt;TimeDimension WebTreeWasUsed="false"&gt;&lt;NumberOfPeriods Annual="0" Semesters="0" Quarters="8" Months="0" Weeks="0" Days="0" /&gt;&lt;/TimeDimension&gt;&lt;/WBOSInformations&gt;&lt;Tabulation Axis="horizontal"&gt;&lt;Dimension Code="ASGS_2011" CommonCode="ASGS_2011" /&gt;&lt;/Tabulation&gt;&lt;Tabulation Axis="vertical"&gt;&lt;Dimension Code="MEASURE" /&gt;&lt;Dimension Code="TIME" CommonCode="TIME" /&gt;&lt;/Tabulation&gt;&lt;Tabulation Axis="page"&gt;&lt;Dimension Code="PROP_TYPE" /&gt;&lt;Dimension Code="FREQUENCY" CommonCode="FREQUENCY" /&gt;&lt;/Tabulation&gt;&lt;Formatting&gt;&lt;Labels LocaleIsoCode="en" /&gt;&lt;Power&gt;0&lt;/Power&gt;&lt;Decimals&gt;-1&lt;/Decimals&gt;&lt;SkipEmptyLines&gt;false&lt;/SkipEmptyLines&gt;&lt;SkipEmptyCols&gt;false&lt;/SkipEmptyCols&gt;&lt;SkipLineHierarchy&gt;false&lt;/SkipLineHierarchy&gt;&lt;SkipColHierarchy&gt;false&lt;/SkipColHierarchy&gt;&lt;Page&gt;1&lt;/Page&gt;&lt;/Formatting&gt;&lt;/DataTable&gt;&lt;Format&gt;&lt;ShowEmptyAxes&gt;true&lt;/ShowEmptyAxes&gt;&lt;Page&gt;1&lt;/Page&gt;&lt;EnableSort&gt;true&lt;/EnableSort&gt;&lt;IncludeFlagColumn&gt;false&lt;/IncludeFlagColumn&gt;&lt;IncludeTimeSeriesId&gt;false&lt;/IncludeTimeSeriesId&gt;&lt;DoBarChart&gt;false&lt;/DoBarChart&gt;&lt;FreezePanes&gt;true&lt;/FreezePanes&gt;&lt;MaxBarChartLen&gt;65&lt;/MaxBarChartLen&gt;&lt;/Format&gt;&lt;Query&gt;&lt;AbsoluteUri&gt;http://stat.data.abs.gov.au//View.aspx?QueryId=&amp;amp;QueryType=Public&amp;amp;Lang=en&lt;/AbsoluteUri&gt;&lt;/Query&gt;&lt;/WebTableParameter&gt;</t>
  </si>
  <si>
    <t>Attached dwellings</t>
  </si>
  <si>
    <t>Data extracted on 03 Oct 2017 08:44 UTC (GMT) from ABS.Stat © Commonwealth of Australia. Creative Commons Attribution 2.5 Australia (https://creativecommons.org/licenses/by/2.5/au)</t>
  </si>
  <si>
    <t>Joshua Ng</t>
  </si>
  <si>
    <t>Averages for Residential Property</t>
  </si>
  <si>
    <t>Averages for Established Houses</t>
  </si>
  <si>
    <t>Averages for Attached Dwellings</t>
  </si>
  <si>
    <t>Maximum for Residential Property</t>
  </si>
  <si>
    <t>Maximum for Established Houses</t>
  </si>
  <si>
    <t>Maximum for Attached Dwellings</t>
  </si>
  <si>
    <t>Minimum for Residential Property</t>
  </si>
  <si>
    <t>Minimum for Established Houses</t>
  </si>
  <si>
    <t>Minimum for Attached Dwellings</t>
  </si>
  <si>
    <t>Number of negative values in  “Percentage change from previous quarters” for all capital cities in all three types of housing</t>
  </si>
  <si>
    <t>Number of negative values in  “Percentage change from corresponding quarter of the previous year” for all capital cities in all three types of housing</t>
  </si>
  <si>
    <t>BUTTON</t>
  </si>
  <si>
    <t>DATA BELOW</t>
  </si>
  <si>
    <t>Negative percentage change from previous quarters</t>
  </si>
  <si>
    <t>Month-Year</t>
  </si>
  <si>
    <t>City</t>
  </si>
  <si>
    <t>Housing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</si>
</sst>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Verdana"/>
      <family val="2"/>
    </font>
    <font>
      <b/>
      <sz val="8"/>
      <name val="Verdana"/>
      <family val="2"/>
    </font>
    <font>
      <sz val="8"/>
      <color indexed="9"/>
      <name val="Verdana"/>
      <family val="2"/>
    </font>
    <font>
      <u/>
      <sz val="8"/>
      <color indexed="9"/>
      <name val="Verdana"/>
      <family val="2"/>
    </font>
    <font>
      <b/>
      <sz val="8"/>
      <color indexed="9"/>
      <name val="Verdana"/>
      <family val="2"/>
    </font>
    <font>
      <sz val="8"/>
      <name val="Arial"/>
      <family val="2"/>
    </font>
    <font>
      <b/>
      <sz val="9"/>
      <color indexed="10"/>
      <name val="Courier New"/>
      <family val="3"/>
    </font>
    <font>
      <sz val="10"/>
      <color rgb="FF00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973BD"/>
        <bgColor indexed="64"/>
      </patternFill>
    </fill>
    <fill>
      <patternFill patternType="solid">
        <fgColor rgb="FF00A1E3"/>
        <bgColor indexed="64"/>
      </patternFill>
    </fill>
    <fill>
      <patternFill patternType="solid">
        <fgColor rgb="FFC4D8ED"/>
        <bgColor indexed="64"/>
      </patternFill>
    </fill>
    <fill>
      <patternFill patternType="mediumGray">
        <fgColor rgb="FFC0C0C0"/>
        <bgColor rgb="FFFFFFFF"/>
      </patternFill>
    </fill>
    <fill>
      <patternFill patternType="solid">
        <fgColor rgb="FFF0F8FF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23" fillId="0" borderId="10" xfId="0" applyFont="1" applyBorder="1"/>
    <xf numFmtId="0" fontId="20" fillId="34" borderId="10" xfId="0" applyFont="1" applyFill="1" applyBorder="1" applyAlignment="1">
      <alignment horizontal="center" vertical="top" wrapText="1"/>
    </xf>
    <xf numFmtId="0" fontId="19" fillId="35" borderId="10" xfId="0" applyFont="1" applyFill="1" applyBorder="1" applyAlignment="1">
      <alignment wrapText="1"/>
    </xf>
    <xf numFmtId="0" fontId="24" fillId="36" borderId="10" xfId="0" applyFont="1" applyFill="1" applyBorder="1" applyAlignment="1">
      <alignment horizontal="center"/>
    </xf>
    <xf numFmtId="0" fontId="18" fillId="35" borderId="10" xfId="0" applyFont="1" applyFill="1" applyBorder="1" applyAlignment="1">
      <alignment vertical="top" wrapText="1"/>
    </xf>
    <xf numFmtId="0" fontId="23" fillId="0" borderId="10" xfId="0" applyNumberFormat="1" applyFont="1" applyBorder="1" applyAlignment="1">
      <alignment horizontal="right"/>
    </xf>
    <xf numFmtId="0" fontId="23" fillId="37" borderId="10" xfId="0" applyNumberFormat="1" applyFont="1" applyFill="1" applyBorder="1" applyAlignment="1">
      <alignment horizontal="right"/>
    </xf>
    <xf numFmtId="0" fontId="22" fillId="34" borderId="11" xfId="0" applyFont="1" applyFill="1" applyBorder="1" applyAlignment="1">
      <alignment horizontal="right" vertical="center" wrapText="1"/>
    </xf>
    <xf numFmtId="0" fontId="22" fillId="34" borderId="13" xfId="0" applyFont="1" applyFill="1" applyBorder="1" applyAlignment="1">
      <alignment horizontal="right" vertical="center" wrapText="1"/>
    </xf>
    <xf numFmtId="0" fontId="0" fillId="0" borderId="0" xfId="0" quotePrefix="1" applyNumberFormat="1"/>
    <xf numFmtId="0" fontId="0" fillId="0" borderId="0" xfId="0" applyNumberFormat="1"/>
    <xf numFmtId="0" fontId="0" fillId="0" borderId="0" xfId="0" applyAlignment="1">
      <alignment horizontal="left" vertical="top" wrapText="1"/>
    </xf>
    <xf numFmtId="2" fontId="22" fillId="34" borderId="11" xfId="0" applyNumberFormat="1" applyFont="1" applyFill="1" applyBorder="1" applyAlignment="1">
      <alignment horizontal="right" vertical="center" wrapText="1"/>
    </xf>
    <xf numFmtId="2" fontId="22" fillId="34" borderId="13" xfId="0" applyNumberFormat="1" applyFont="1" applyFill="1" applyBorder="1" applyAlignment="1">
      <alignment horizontal="right" vertical="center" wrapText="1"/>
    </xf>
    <xf numFmtId="17" fontId="0" fillId="0" borderId="0" xfId="0" applyNumberFormat="1"/>
    <xf numFmtId="0" fontId="0" fillId="0" borderId="0" xfId="0" applyAlignment="1">
      <alignment wrapText="1"/>
    </xf>
    <xf numFmtId="0" fontId="18" fillId="35" borderId="14" xfId="0" applyFont="1" applyFill="1" applyBorder="1" applyAlignment="1">
      <alignment vertical="top" wrapText="1"/>
    </xf>
    <xf numFmtId="0" fontId="18" fillId="35" borderId="16" xfId="0" applyFont="1" applyFill="1" applyBorder="1" applyAlignment="1">
      <alignment vertical="top" wrapText="1"/>
    </xf>
    <xf numFmtId="0" fontId="18" fillId="35" borderId="15" xfId="0" applyFont="1" applyFill="1" applyBorder="1" applyAlignment="1">
      <alignment vertical="top" wrapText="1"/>
    </xf>
    <xf numFmtId="0" fontId="22" fillId="33" borderId="11" xfId="0" applyFont="1" applyFill="1" applyBorder="1" applyAlignment="1">
      <alignment horizontal="right" vertical="top" wrapText="1"/>
    </xf>
    <xf numFmtId="0" fontId="22" fillId="33" borderId="13" xfId="0" applyFont="1" applyFill="1" applyBorder="1" applyAlignment="1">
      <alignment horizontal="right" vertical="top" wrapText="1"/>
    </xf>
    <xf numFmtId="0" fontId="21" fillId="33" borderId="11" xfId="0" applyFont="1" applyFill="1" applyBorder="1" applyAlignment="1">
      <alignment vertical="top" wrapText="1"/>
    </xf>
    <xf numFmtId="0" fontId="21" fillId="33" borderId="13" xfId="0" applyFont="1" applyFill="1" applyBorder="1" applyAlignment="1">
      <alignment vertical="top" wrapText="1"/>
    </xf>
    <xf numFmtId="0" fontId="21" fillId="33" borderId="12" xfId="0" applyFont="1" applyFill="1" applyBorder="1" applyAlignment="1">
      <alignment vertical="top" wrapText="1"/>
    </xf>
    <xf numFmtId="0" fontId="20" fillId="33" borderId="11" xfId="0" applyFont="1" applyFill="1" applyBorder="1" applyAlignment="1">
      <alignment vertical="top" wrapText="1"/>
    </xf>
    <xf numFmtId="0" fontId="20" fillId="33" borderId="13" xfId="0" applyFont="1" applyFill="1" applyBorder="1" applyAlignment="1">
      <alignment vertical="top" wrapText="1"/>
    </xf>
    <xf numFmtId="0" fontId="20" fillId="33" borderId="12" xfId="0" applyFont="1" applyFill="1" applyBorder="1" applyAlignment="1">
      <alignment vertical="top" wrapText="1"/>
    </xf>
    <xf numFmtId="0" fontId="22" fillId="34" borderId="11" xfId="0" applyFont="1" applyFill="1" applyBorder="1" applyAlignment="1">
      <alignment horizontal="right" vertical="center" wrapText="1"/>
    </xf>
    <xf numFmtId="0" fontId="22" fillId="34" borderId="13" xfId="0" applyFont="1" applyFill="1" applyBorder="1" applyAlignment="1">
      <alignment horizontal="righ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Index Numbers of </a:t>
            </a:r>
            <a:r>
              <a:rPr lang="en-AU" sz="1400" b="0" i="0" u="none" strike="noStrike" baseline="0">
                <a:effectLst/>
              </a:rPr>
              <a:t>Average Housing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Analysis!$C$5</c:f>
              <c:strCache>
                <c:ptCount val="1"/>
                <c:pt idx="0">
                  <c:v>Averages for Residential Property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Analysis!$C$7:$C$14</c:f>
              <c:numCache>
                <c:formatCode>General</c:formatCode>
                <c:ptCount val="8"/>
                <c:pt idx="0">
                  <c:v>117.54</c:v>
                </c:pt>
                <c:pt idx="1">
                  <c:v>118.35</c:v>
                </c:pt>
                <c:pt idx="2">
                  <c:v>118.05</c:v>
                </c:pt>
                <c:pt idx="3">
                  <c:v>119.2</c:v>
                </c:pt>
                <c:pt idx="4">
                  <c:v>120.19</c:v>
                </c:pt>
                <c:pt idx="5">
                  <c:v>123.56</c:v>
                </c:pt>
                <c:pt idx="6">
                  <c:v>125.63</c:v>
                </c:pt>
                <c:pt idx="7">
                  <c:v>127.04</c:v>
                </c:pt>
              </c:numCache>
            </c:numRef>
          </c:val>
        </c:ser>
        <c:ser>
          <c:idx val="1"/>
          <c:order val="1"/>
          <c:tx>
            <c:strRef>
              <c:f>Analysis!$D$5</c:f>
              <c:strCache>
                <c:ptCount val="1"/>
                <c:pt idx="0">
                  <c:v>Averages for Established Houses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Analysis!$D$7:$D$14</c:f>
              <c:numCache>
                <c:formatCode>General</c:formatCode>
                <c:ptCount val="8"/>
                <c:pt idx="0">
                  <c:v>119.49</c:v>
                </c:pt>
                <c:pt idx="1">
                  <c:v>120.36</c:v>
                </c:pt>
                <c:pt idx="2">
                  <c:v>120.06</c:v>
                </c:pt>
                <c:pt idx="3">
                  <c:v>121.59</c:v>
                </c:pt>
                <c:pt idx="4">
                  <c:v>122.59</c:v>
                </c:pt>
                <c:pt idx="5">
                  <c:v>126.59</c:v>
                </c:pt>
                <c:pt idx="6">
                  <c:v>129.01</c:v>
                </c:pt>
                <c:pt idx="7">
                  <c:v>130.58000000000001</c:v>
                </c:pt>
              </c:numCache>
            </c:numRef>
          </c:val>
        </c:ser>
        <c:ser>
          <c:idx val="2"/>
          <c:order val="2"/>
          <c:tx>
            <c:strRef>
              <c:f>Analysis!$E$5</c:f>
              <c:strCache>
                <c:ptCount val="1"/>
                <c:pt idx="0">
                  <c:v>Averages for Attached Dwellings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Analysis!$E$7:$E$14</c:f>
              <c:numCache>
                <c:formatCode>General</c:formatCode>
                <c:ptCount val="8"/>
                <c:pt idx="0">
                  <c:v>111.61</c:v>
                </c:pt>
                <c:pt idx="1">
                  <c:v>111.85</c:v>
                </c:pt>
                <c:pt idx="2">
                  <c:v>111.63</c:v>
                </c:pt>
                <c:pt idx="3">
                  <c:v>111.83</c:v>
                </c:pt>
                <c:pt idx="4">
                  <c:v>112.65</c:v>
                </c:pt>
                <c:pt idx="5">
                  <c:v>114.25</c:v>
                </c:pt>
                <c:pt idx="6">
                  <c:v>115.21</c:v>
                </c:pt>
                <c:pt idx="7">
                  <c:v>116.15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1496840"/>
        <c:axId val="541497232"/>
      </c:barChart>
      <c:catAx>
        <c:axId val="54149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97232"/>
        <c:crosses val="autoZero"/>
        <c:auto val="1"/>
        <c:lblAlgn val="ctr"/>
        <c:lblOffset val="100"/>
        <c:noMultiLvlLbl val="0"/>
      </c:catAx>
      <c:valAx>
        <c:axId val="541497232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Index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96840"/>
        <c:crosses val="autoZero"/>
        <c:crossBetween val="between"/>
        <c:majorUnit val="10"/>
        <c:minorUnit val="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Index</a:t>
            </a:r>
            <a:r>
              <a:rPr lang="en-AU" baseline="0"/>
              <a:t> Numbers of Perth Region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Residential_Property!$C$3</c:f>
              <c:strCache>
                <c:ptCount val="1"/>
                <c:pt idx="0">
                  <c:v>Residential property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Attached_Dwellings!$B$7:$B$14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Residential_Property!$G$7:$G$14</c:f>
              <c:numCache>
                <c:formatCode>General</c:formatCode>
                <c:ptCount val="8"/>
                <c:pt idx="0">
                  <c:v>110.7</c:v>
                </c:pt>
                <c:pt idx="1">
                  <c:v>111.2</c:v>
                </c:pt>
                <c:pt idx="2">
                  <c:v>109.3</c:v>
                </c:pt>
                <c:pt idx="3">
                  <c:v>108</c:v>
                </c:pt>
                <c:pt idx="4">
                  <c:v>106.3</c:v>
                </c:pt>
                <c:pt idx="5">
                  <c:v>106.6</c:v>
                </c:pt>
                <c:pt idx="6">
                  <c:v>105.5</c:v>
                </c:pt>
                <c:pt idx="7">
                  <c:v>104.7</c:v>
                </c:pt>
              </c:numCache>
            </c:numRef>
          </c:val>
        </c:ser>
        <c:ser>
          <c:idx val="1"/>
          <c:order val="1"/>
          <c:tx>
            <c:strRef>
              <c:f>Established_Houses!$C$3</c:f>
              <c:strCache>
                <c:ptCount val="1"/>
                <c:pt idx="0">
                  <c:v>Established houses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Attached_Dwellings!$B$7:$B$14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Established_Houses!$G$7:$G$14</c:f>
              <c:numCache>
                <c:formatCode>General</c:formatCode>
                <c:ptCount val="8"/>
                <c:pt idx="0">
                  <c:v>111.4</c:v>
                </c:pt>
                <c:pt idx="1">
                  <c:v>111.9</c:v>
                </c:pt>
                <c:pt idx="2">
                  <c:v>109.9</c:v>
                </c:pt>
                <c:pt idx="3">
                  <c:v>108.8</c:v>
                </c:pt>
                <c:pt idx="4">
                  <c:v>106.8</c:v>
                </c:pt>
                <c:pt idx="5">
                  <c:v>107.7</c:v>
                </c:pt>
                <c:pt idx="6">
                  <c:v>106.4</c:v>
                </c:pt>
                <c:pt idx="7">
                  <c:v>105.8</c:v>
                </c:pt>
              </c:numCache>
            </c:numRef>
          </c:val>
        </c:ser>
        <c:ser>
          <c:idx val="2"/>
          <c:order val="2"/>
          <c:tx>
            <c:strRef>
              <c:f>Attached_Dwellings!$C$3</c:f>
              <c:strCache>
                <c:ptCount val="1"/>
                <c:pt idx="0">
                  <c:v>Attached dwellings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Attached_Dwellings!$B$7:$B$14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Attached_Dwellings!$G$7:$G$14</c:f>
              <c:numCache>
                <c:formatCode>General</c:formatCode>
                <c:ptCount val="8"/>
                <c:pt idx="0">
                  <c:v>107.6</c:v>
                </c:pt>
                <c:pt idx="1">
                  <c:v>107.8</c:v>
                </c:pt>
                <c:pt idx="2">
                  <c:v>106.6</c:v>
                </c:pt>
                <c:pt idx="3">
                  <c:v>104.8</c:v>
                </c:pt>
                <c:pt idx="4">
                  <c:v>104</c:v>
                </c:pt>
                <c:pt idx="5">
                  <c:v>102.2</c:v>
                </c:pt>
                <c:pt idx="6">
                  <c:v>101.3</c:v>
                </c:pt>
                <c:pt idx="7">
                  <c:v>99.8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1498016"/>
        <c:axId val="541498408"/>
      </c:barChart>
      <c:catAx>
        <c:axId val="54149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98408"/>
        <c:crosses val="autoZero"/>
        <c:auto val="1"/>
        <c:lblAlgn val="ctr"/>
        <c:lblOffset val="100"/>
        <c:noMultiLvlLbl val="0"/>
      </c:catAx>
      <c:valAx>
        <c:axId val="541498408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Index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9801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33</xdr:row>
      <xdr:rowOff>23812</xdr:rowOff>
    </xdr:from>
    <xdr:to>
      <xdr:col>9</xdr:col>
      <xdr:colOff>314326</xdr:colOff>
      <xdr:row>44</xdr:row>
      <xdr:rowOff>28576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342900</xdr:colOff>
      <xdr:row>33</xdr:row>
      <xdr:rowOff>9524</xdr:rowOff>
    </xdr:from>
    <xdr:to>
      <xdr:col>17</xdr:col>
      <xdr:colOff>561975</xdr:colOff>
      <xdr:row>44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42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at.data.abs.gov.au/OECDStat_Metadata/ShowMetadata.ashx?Dataset=RES_PROP_INDEX&amp;Coords=%5bPROP_TYPE%5d.%5b3%5d&amp;ShowOnWeb=true&amp;Lang=en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stat.data.abs.gov.au/OECDStat_Metadata/ShowMetadata.ashx?Dataset=RES_PROP_INDEX&amp;Coords=%5bPROP_TYPE%5d.%5b1%5d&amp;ShowOnWeb=true&amp;Lang=e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L100"/>
  <sheetViews>
    <sheetView tabSelected="1" topLeftCell="A19" zoomScaleNormal="100" workbookViewId="0">
      <selection activeCell="D47" sqref="D47"/>
    </sheetView>
  </sheetViews>
  <sheetFormatPr defaultRowHeight="12.75" x14ac:dyDescent="0.2"/>
  <cols>
    <col min="1" max="1" width="24" customWidth="1"/>
    <col min="3" max="5" width="11.85546875" bestFit="1" customWidth="1"/>
    <col min="7" max="12" width="11.5703125" bestFit="1" customWidth="1"/>
  </cols>
  <sheetData>
    <row r="2" spans="1:12" x14ac:dyDescent="0.2">
      <c r="B2" t="s">
        <v>37</v>
      </c>
    </row>
    <row r="3" spans="1:12" x14ac:dyDescent="0.2">
      <c r="B3">
        <v>20163079</v>
      </c>
    </row>
    <row r="5" spans="1:12" ht="42" x14ac:dyDescent="0.2">
      <c r="A5" s="8" t="s">
        <v>6</v>
      </c>
      <c r="B5" s="9"/>
      <c r="C5" s="2" t="s">
        <v>38</v>
      </c>
      <c r="D5" s="2" t="s">
        <v>39</v>
      </c>
      <c r="E5" s="2" t="s">
        <v>40</v>
      </c>
      <c r="G5" s="2" t="s">
        <v>41</v>
      </c>
      <c r="H5" s="2" t="s">
        <v>44</v>
      </c>
      <c r="I5" s="2" t="s">
        <v>42</v>
      </c>
      <c r="J5" s="2" t="s">
        <v>45</v>
      </c>
      <c r="K5" s="2" t="s">
        <v>43</v>
      </c>
      <c r="L5" s="2" t="s">
        <v>46</v>
      </c>
    </row>
    <row r="6" spans="1:12" x14ac:dyDescent="0.2">
      <c r="A6" s="3" t="s">
        <v>16</v>
      </c>
      <c r="B6" s="3" t="s">
        <v>17</v>
      </c>
    </row>
    <row r="7" spans="1:12" x14ac:dyDescent="0.2">
      <c r="A7" s="17" t="s">
        <v>19</v>
      </c>
      <c r="B7" s="5" t="s">
        <v>20</v>
      </c>
      <c r="C7" s="11">
        <f t="array" ref="C7:C30">ROUND((Residential_Property!$C7:$C30+Residential_Property!$D7:$D30+Residential_Property!$E7:$E30+Residential_Property!$F7:$F30+Residential_Property!$G7:$G30+Residential_Property!$H7:$H30+Residential_Property!$I7:$I30+Residential_Property!$J7:$J30)/COLUMNS(Residential_Property!$C$7:$J$30),2)</f>
        <v>117.54</v>
      </c>
      <c r="D7" s="11">
        <f t="array" ref="D7:D30">ROUND((Established_Houses!$C7:$C30+Established_Houses!$D7:$D30+Established_Houses!$E7:$E30+Established_Houses!$F7:$F30+Established_Houses!$G7:$G30+Established_Houses!$H7:$H30+Established_Houses!$I7:$I30+Established_Houses!$J7:$J30)/COLUMNS(Established_Houses!$C$7:$J$30),2)</f>
        <v>119.49</v>
      </c>
      <c r="E7" s="11">
        <f t="array" ref="E7:E30">ROUND((Attached_Dwellings!$C7:$C30+Attached_Dwellings!$D7:$D30+Attached_Dwellings!$E7:$E30+Attached_Dwellings!$F7:$F30+Attached_Dwellings!$G7:$G30+Attached_Dwellings!$H7:$H30+Attached_Dwellings!$I7:$I30+Attached_Dwellings!$J7:$J30)/COLUMNS(Attached_Dwellings!$C$7:$J$30),2)</f>
        <v>111.61</v>
      </c>
      <c r="G7" s="10">
        <f t="array" ref="G7">MAX(Residential_Property!$C7:$J7)</f>
        <v>154.4</v>
      </c>
      <c r="H7" s="10">
        <f t="array" ref="H7">MIN(Residential_Property!$C7:$J7)</f>
        <v>106.2</v>
      </c>
      <c r="I7" s="10">
        <f t="array" ref="I7">MAX(Established_Houses!$C7:$J7)</f>
        <v>159.1</v>
      </c>
      <c r="J7" s="10">
        <f t="array" ref="J7">MIN(Established_Houses!$C7:$J7)</f>
        <v>107</v>
      </c>
      <c r="K7" s="10">
        <f t="array" ref="K7">MAX(Attached_Dwellings!$C7:$J7)</f>
        <v>145.19999999999999</v>
      </c>
      <c r="L7" s="10">
        <f t="array" ref="L7">MIN(Attached_Dwellings!$C7:$J7)</f>
        <v>99.4</v>
      </c>
    </row>
    <row r="8" spans="1:12" x14ac:dyDescent="0.2">
      <c r="A8" s="18"/>
      <c r="B8" s="5" t="s">
        <v>21</v>
      </c>
      <c r="C8" s="11">
        <v>118.35</v>
      </c>
      <c r="D8" s="11">
        <v>120.36</v>
      </c>
      <c r="E8" s="11">
        <v>111.85</v>
      </c>
      <c r="G8" s="10">
        <f t="array" ref="G8">MAX(Residential_Property!$C8:$J8)</f>
        <v>151.9</v>
      </c>
      <c r="H8" s="10">
        <f t="array" ref="H8">MIN(Residential_Property!$C8:$J8)</f>
        <v>108.9</v>
      </c>
      <c r="I8" s="10">
        <f t="array" ref="I8">MAX(Established_Houses!$C8:$J8)</f>
        <v>155.69999999999999</v>
      </c>
      <c r="J8" s="10">
        <f t="array" ref="J8">MIN(Established_Houses!$C8:$J8)</f>
        <v>109.8</v>
      </c>
      <c r="K8" s="10">
        <f t="array" ref="K8">MAX(Attached_Dwellings!$C8:$J8)</f>
        <v>144.1</v>
      </c>
      <c r="L8" s="10">
        <f t="array" ref="L8">MIN(Attached_Dwellings!$C8:$J8)</f>
        <v>100.7</v>
      </c>
    </row>
    <row r="9" spans="1:12" x14ac:dyDescent="0.2">
      <c r="A9" s="18"/>
      <c r="B9" s="5" t="s">
        <v>22</v>
      </c>
      <c r="C9" s="11">
        <v>118.05</v>
      </c>
      <c r="D9" s="11">
        <v>120.06</v>
      </c>
      <c r="E9" s="11">
        <v>111.63</v>
      </c>
      <c r="G9" s="10">
        <f t="array" ref="G9">MAX(Residential_Property!$C9:$J9)</f>
        <v>150.9</v>
      </c>
      <c r="H9" s="10">
        <f t="array" ref="H9">MIN(Residential_Property!$C9:$J9)</f>
        <v>107.9</v>
      </c>
      <c r="I9" s="10">
        <f t="array" ref="I9">MAX(Established_Houses!$C9:$J9)</f>
        <v>154.80000000000001</v>
      </c>
      <c r="J9" s="10">
        <f t="array" ref="J9">MIN(Established_Houses!$C9:$J9)</f>
        <v>107.7</v>
      </c>
      <c r="K9" s="10">
        <f t="array" ref="K9">MAX(Attached_Dwellings!$C9:$J9)</f>
        <v>143.19999999999999</v>
      </c>
      <c r="L9" s="10">
        <f t="array" ref="L9">MIN(Attached_Dwellings!$C9:$J9)</f>
        <v>99.6</v>
      </c>
    </row>
    <row r="10" spans="1:12" x14ac:dyDescent="0.2">
      <c r="A10" s="18"/>
      <c r="B10" s="5" t="s">
        <v>23</v>
      </c>
      <c r="C10" s="11">
        <v>119.2</v>
      </c>
      <c r="D10" s="11">
        <v>121.59</v>
      </c>
      <c r="E10" s="11">
        <v>111.83</v>
      </c>
      <c r="G10" s="10">
        <f t="array" ref="G10">MAX(Residential_Property!$C10:$J10)</f>
        <v>155.19999999999999</v>
      </c>
      <c r="H10" s="10">
        <f t="array" ref="H10">MIN(Residential_Property!$C10:$J10)</f>
        <v>105.3</v>
      </c>
      <c r="I10" s="10">
        <f t="array" ref="I10">MAX(Established_Houses!$C10:$J10)</f>
        <v>159.69999999999999</v>
      </c>
      <c r="J10" s="10">
        <f t="array" ref="J10">MIN(Established_Houses!$C10:$J10)</f>
        <v>105.6</v>
      </c>
      <c r="K10" s="10">
        <f t="array" ref="K10">MAX(Attached_Dwellings!$C10:$J10)</f>
        <v>146.1</v>
      </c>
      <c r="L10" s="10">
        <f t="array" ref="L10">MIN(Attached_Dwellings!$C10:$J10)</f>
        <v>99.6</v>
      </c>
    </row>
    <row r="11" spans="1:12" x14ac:dyDescent="0.2">
      <c r="A11" s="18"/>
      <c r="B11" s="5" t="s">
        <v>24</v>
      </c>
      <c r="C11" s="11">
        <v>120.19</v>
      </c>
      <c r="D11" s="11">
        <v>122.59</v>
      </c>
      <c r="E11" s="11">
        <v>112.65</v>
      </c>
      <c r="G11" s="10">
        <f t="array" ref="G11">MAX(Residential_Property!$C11:$J11)</f>
        <v>159.30000000000001</v>
      </c>
      <c r="H11" s="10">
        <f t="array" ref="H11">MIN(Residential_Property!$C11:$J11)</f>
        <v>104</v>
      </c>
      <c r="I11" s="10">
        <f t="array" ref="I11">MAX(Established_Houses!$C11:$J11)</f>
        <v>164.4</v>
      </c>
      <c r="J11" s="10">
        <f t="array" ref="J11">MIN(Established_Houses!$C11:$J11)</f>
        <v>103.3</v>
      </c>
      <c r="K11" s="10">
        <f t="array" ref="K11">MAX(Attached_Dwellings!$C11:$J11)</f>
        <v>149.19999999999999</v>
      </c>
      <c r="L11" s="10">
        <f t="array" ref="L11">MIN(Attached_Dwellings!$C11:$J11)</f>
        <v>100.4</v>
      </c>
    </row>
    <row r="12" spans="1:12" x14ac:dyDescent="0.2">
      <c r="A12" s="18"/>
      <c r="B12" s="5" t="s">
        <v>25</v>
      </c>
      <c r="C12" s="11">
        <v>123.56</v>
      </c>
      <c r="D12" s="11">
        <v>126.59</v>
      </c>
      <c r="E12" s="11">
        <v>114.25</v>
      </c>
      <c r="G12" s="10">
        <f t="array" ref="G12">MAX(Residential_Property!$C12:$J12)</f>
        <v>167.6</v>
      </c>
      <c r="H12" s="10">
        <f t="array" ref="H12">MIN(Residential_Property!$C12:$J12)</f>
        <v>102.4</v>
      </c>
      <c r="I12" s="10">
        <f t="array" ref="I12">MAX(Established_Houses!$C12:$J12)</f>
        <v>174.4</v>
      </c>
      <c r="J12" s="10">
        <f t="array" ref="J12">MIN(Established_Houses!$C12:$J12)</f>
        <v>102.1</v>
      </c>
      <c r="K12" s="10">
        <f t="array" ref="K12">MAX(Attached_Dwellings!$C12:$J12)</f>
        <v>153.80000000000001</v>
      </c>
      <c r="L12" s="10">
        <f t="array" ref="L12">MIN(Attached_Dwellings!$C12:$J12)</f>
        <v>102.2</v>
      </c>
    </row>
    <row r="13" spans="1:12" x14ac:dyDescent="0.2">
      <c r="A13" s="18"/>
      <c r="B13" s="5" t="s">
        <v>26</v>
      </c>
      <c r="C13" s="11">
        <v>125.63</v>
      </c>
      <c r="D13" s="11">
        <v>129.01</v>
      </c>
      <c r="E13" s="11">
        <v>115.21</v>
      </c>
      <c r="G13" s="10">
        <f t="array" ref="G13">MAX(Residential_Property!$C13:$J13)</f>
        <v>172.7</v>
      </c>
      <c r="H13" s="10">
        <f t="array" ref="H13">MIN(Residential_Property!$C13:$J13)</f>
        <v>101.5</v>
      </c>
      <c r="I13" s="10">
        <f t="array" ref="I13">MAX(Established_Houses!$C13:$J13)</f>
        <v>179.5</v>
      </c>
      <c r="J13" s="10">
        <f t="array" ref="J13">MIN(Established_Houses!$C13:$J13)</f>
        <v>101.7</v>
      </c>
      <c r="K13" s="10">
        <f t="array" ref="K13">MAX(Attached_Dwellings!$C13:$J13)</f>
        <v>159.1</v>
      </c>
      <c r="L13" s="10">
        <f t="array" ref="L13">MIN(Attached_Dwellings!$C13:$J13)</f>
        <v>100.9</v>
      </c>
    </row>
    <row r="14" spans="1:12" x14ac:dyDescent="0.2">
      <c r="A14" s="19"/>
      <c r="B14" s="5" t="s">
        <v>27</v>
      </c>
      <c r="C14" s="11">
        <v>127.04</v>
      </c>
      <c r="D14" s="11">
        <v>130.58000000000001</v>
      </c>
      <c r="E14" s="11">
        <v>116.15</v>
      </c>
      <c r="G14" s="10">
        <f t="array" ref="G14">MAX(Residential_Property!$C14:$J14)</f>
        <v>176.6</v>
      </c>
      <c r="H14" s="10">
        <f t="array" ref="H14">MIN(Residential_Property!$C14:$J14)</f>
        <v>100.1</v>
      </c>
      <c r="I14" s="10">
        <f t="array" ref="I14">MAX(Established_Houses!$C14:$J14)</f>
        <v>183.3</v>
      </c>
      <c r="J14" s="10">
        <f t="array" ref="J14">MIN(Established_Houses!$C14:$J14)</f>
        <v>100.6</v>
      </c>
      <c r="K14" s="10">
        <f t="array" ref="K14">MAX(Attached_Dwellings!$C14:$J14)</f>
        <v>163.19999999999999</v>
      </c>
      <c r="L14" s="10">
        <f t="array" ref="L14">MIN(Attached_Dwellings!$C14:$J14)</f>
        <v>99.1</v>
      </c>
    </row>
    <row r="15" spans="1:12" x14ac:dyDescent="0.2">
      <c r="A15" s="17" t="s">
        <v>28</v>
      </c>
      <c r="B15" s="5" t="s">
        <v>20</v>
      </c>
      <c r="C15" s="11">
        <v>0.94</v>
      </c>
      <c r="D15" s="11">
        <v>1.1000000000000001</v>
      </c>
      <c r="E15" s="11">
        <v>0.43</v>
      </c>
      <c r="G15" s="10">
        <f t="array" ref="G15">MAX(Residential_Property!$C15:$J15)</f>
        <v>3.1</v>
      </c>
      <c r="H15" s="10">
        <f t="array" ref="H15">MIN(Residential_Property!$C15:$J15)</f>
        <v>-2.4</v>
      </c>
      <c r="I15" s="10">
        <f t="array" ref="I15">MAX(Established_Houses!$C15:$J15)</f>
        <v>3.3</v>
      </c>
      <c r="J15" s="10">
        <f t="array" ref="J15">MIN(Established_Houses!$C15:$J15)</f>
        <v>-2.5</v>
      </c>
      <c r="K15" s="10">
        <f t="array" ref="K15">MAX(Attached_Dwellings!$C15:$J15)</f>
        <v>2.5</v>
      </c>
      <c r="L15" s="10">
        <f t="array" ref="L15">MIN(Attached_Dwellings!$C15:$J15)</f>
        <v>-2.1</v>
      </c>
    </row>
    <row r="16" spans="1:12" x14ac:dyDescent="0.2">
      <c r="A16" s="18"/>
      <c r="B16" s="5" t="s">
        <v>21</v>
      </c>
      <c r="C16" s="11">
        <v>0.81</v>
      </c>
      <c r="D16" s="11">
        <v>0.88</v>
      </c>
      <c r="E16" s="11">
        <v>0.28000000000000003</v>
      </c>
      <c r="G16" s="10">
        <f t="array" ref="G16">MAX(Residential_Property!$C16:$J16)</f>
        <v>2.8</v>
      </c>
      <c r="H16" s="10">
        <f t="array" ref="H16">MIN(Residential_Property!$C16:$J16)</f>
        <v>-1.8</v>
      </c>
      <c r="I16" s="10">
        <f t="array" ref="I16">MAX(Established_Houses!$C16:$J16)</f>
        <v>3.2</v>
      </c>
      <c r="J16" s="10">
        <f t="array" ref="J16">MIN(Established_Houses!$C16:$J16)</f>
        <v>-2.1</v>
      </c>
      <c r="K16" s="10">
        <f t="array" ref="K16">MAX(Attached_Dwellings!$C16:$J16)</f>
        <v>2</v>
      </c>
      <c r="L16" s="10">
        <f t="array" ref="L16">MIN(Attached_Dwellings!$C16:$J16)</f>
        <v>-1.7</v>
      </c>
    </row>
    <row r="17" spans="1:12" x14ac:dyDescent="0.2">
      <c r="A17" s="18"/>
      <c r="B17" s="5" t="s">
        <v>22</v>
      </c>
      <c r="C17" s="11">
        <v>-0.26</v>
      </c>
      <c r="D17" s="11">
        <v>-0.28000000000000003</v>
      </c>
      <c r="E17" s="11">
        <v>-0.18</v>
      </c>
      <c r="G17" s="10">
        <f t="array" ref="G17">MAX(Residential_Property!$C17:$J17)</f>
        <v>1.1000000000000001</v>
      </c>
      <c r="H17" s="10">
        <f t="array" ref="H17">MIN(Residential_Property!$C17:$J17)</f>
        <v>-2</v>
      </c>
      <c r="I17" s="10">
        <f t="array" ref="I17">MAX(Established_Houses!$C17:$J17)</f>
        <v>1.4</v>
      </c>
      <c r="J17" s="10">
        <f t="array" ref="J17">MIN(Established_Houses!$C17:$J17)</f>
        <v>-2.8</v>
      </c>
      <c r="K17" s="10">
        <f t="array" ref="K17">MAX(Attached_Dwellings!$C17:$J17)</f>
        <v>2.2999999999999998</v>
      </c>
      <c r="L17" s="10">
        <f t="array" ref="L17">MIN(Attached_Dwellings!$C17:$J17)</f>
        <v>-1.3</v>
      </c>
    </row>
    <row r="18" spans="1:12" x14ac:dyDescent="0.2">
      <c r="A18" s="18"/>
      <c r="B18" s="5" t="s">
        <v>23</v>
      </c>
      <c r="C18" s="11">
        <v>0.84</v>
      </c>
      <c r="D18" s="11">
        <v>1.1299999999999999</v>
      </c>
      <c r="E18" s="11">
        <v>0.09</v>
      </c>
      <c r="G18" s="10">
        <f t="array" ref="G18">MAX(Residential_Property!$C18:$J18)</f>
        <v>2.8</v>
      </c>
      <c r="H18" s="10">
        <f t="array" ref="H18">MIN(Residential_Property!$C18:$J18)</f>
        <v>-2.4</v>
      </c>
      <c r="I18" s="10">
        <f t="array" ref="I18">MAX(Established_Houses!$C18:$J18)</f>
        <v>3.2</v>
      </c>
      <c r="J18" s="10">
        <f t="array" ref="J18">MIN(Established_Houses!$C18:$J18)</f>
        <v>-1.9</v>
      </c>
      <c r="K18" s="10">
        <f t="array" ref="K18">MAX(Attached_Dwellings!$C18:$J18)</f>
        <v>2</v>
      </c>
      <c r="L18" s="10">
        <f t="array" ref="L18">MIN(Attached_Dwellings!$C18:$J18)</f>
        <v>-3.4</v>
      </c>
    </row>
    <row r="19" spans="1:12" x14ac:dyDescent="0.2">
      <c r="A19" s="18"/>
      <c r="B19" s="5" t="s">
        <v>24</v>
      </c>
      <c r="C19" s="11">
        <v>0.71</v>
      </c>
      <c r="D19" s="11">
        <v>0.66</v>
      </c>
      <c r="E19" s="11">
        <v>0.68</v>
      </c>
      <c r="G19" s="10">
        <f t="array" ref="G19">MAX(Residential_Property!$C19:$J19)</f>
        <v>2.6</v>
      </c>
      <c r="H19" s="10">
        <f t="array" ref="H19">MIN(Residential_Property!$C19:$J19)</f>
        <v>-1.6</v>
      </c>
      <c r="I19" s="10">
        <f t="array" ref="I19">MAX(Established_Houses!$C19:$J19)</f>
        <v>2.9</v>
      </c>
      <c r="J19" s="10">
        <f t="array" ref="J19">MIN(Established_Houses!$C19:$J19)</f>
        <v>-2.2000000000000002</v>
      </c>
      <c r="K19" s="10">
        <f t="array" ref="K19">MAX(Attached_Dwellings!$C19:$J19)</f>
        <v>2.1</v>
      </c>
      <c r="L19" s="10">
        <f t="array" ref="L19">MIN(Attached_Dwellings!$C19:$J19)</f>
        <v>-0.8</v>
      </c>
    </row>
    <row r="20" spans="1:12" x14ac:dyDescent="0.2">
      <c r="A20" s="18"/>
      <c r="B20" s="5" t="s">
        <v>25</v>
      </c>
      <c r="C20" s="11">
        <v>2.58</v>
      </c>
      <c r="D20" s="11">
        <v>2.96</v>
      </c>
      <c r="E20" s="11">
        <v>1.31</v>
      </c>
      <c r="G20" s="10">
        <f t="array" ref="G20">MAX(Residential_Property!$C20:$J20)</f>
        <v>5.3</v>
      </c>
      <c r="H20" s="10">
        <f t="array" ref="H20">MIN(Residential_Property!$C20:$J20)</f>
        <v>-1.5</v>
      </c>
      <c r="I20" s="10">
        <f t="array" ref="I20">MAX(Established_Houses!$C20:$J20)</f>
        <v>6.1</v>
      </c>
      <c r="J20" s="10">
        <f t="array" ref="J20">MIN(Established_Houses!$C20:$J20)</f>
        <v>-1.2</v>
      </c>
      <c r="K20" s="10">
        <f t="array" ref="K20">MAX(Attached_Dwellings!$C20:$J20)</f>
        <v>5.4</v>
      </c>
      <c r="L20" s="10">
        <f t="array" ref="L20">MIN(Attached_Dwellings!$C20:$J20)</f>
        <v>-2.5</v>
      </c>
    </row>
    <row r="21" spans="1:12" x14ac:dyDescent="0.2">
      <c r="A21" s="18"/>
      <c r="B21" s="5" t="s">
        <v>26</v>
      </c>
      <c r="C21" s="11">
        <v>1.49</v>
      </c>
      <c r="D21" s="11">
        <v>1.71</v>
      </c>
      <c r="E21" s="11">
        <v>0.64</v>
      </c>
      <c r="G21" s="10">
        <f t="array" ref="G21">MAX(Residential_Property!$C21:$J21)</f>
        <v>3.4</v>
      </c>
      <c r="H21" s="10">
        <f t="array" ref="H21">MIN(Residential_Property!$C21:$J21)</f>
        <v>-1</v>
      </c>
      <c r="I21" s="10">
        <f t="array" ref="I21">MAX(Established_Houses!$C21:$J21)</f>
        <v>4.0999999999999996</v>
      </c>
      <c r="J21" s="10">
        <f t="array" ref="J21">MIN(Established_Houses!$C21:$J21)</f>
        <v>-1.2</v>
      </c>
      <c r="K21" s="10">
        <f t="array" ref="K21">MAX(Attached_Dwellings!$C21:$J21)</f>
        <v>5.0999999999999996</v>
      </c>
      <c r="L21" s="10">
        <f t="array" ref="L21">MIN(Attached_Dwellings!$C21:$J21)</f>
        <v>-2.1</v>
      </c>
    </row>
    <row r="22" spans="1:12" x14ac:dyDescent="0.2">
      <c r="A22" s="19"/>
      <c r="B22" s="5" t="s">
        <v>27</v>
      </c>
      <c r="C22" s="11">
        <v>0.95</v>
      </c>
      <c r="D22" s="11">
        <v>1.01</v>
      </c>
      <c r="E22" s="11">
        <v>0.66</v>
      </c>
      <c r="G22" s="10">
        <f t="array" ref="G22">MAX(Residential_Property!$C22:$J22)</f>
        <v>3</v>
      </c>
      <c r="H22" s="10">
        <f t="array" ref="H22">MIN(Residential_Property!$C22:$J22)</f>
        <v>-1.4</v>
      </c>
      <c r="I22" s="10">
        <f t="array" ref="I22">MAX(Established_Houses!$C22:$J22)</f>
        <v>3</v>
      </c>
      <c r="J22" s="10">
        <f t="array" ref="J22">MIN(Established_Houses!$C22:$J22)</f>
        <v>-1.1000000000000001</v>
      </c>
      <c r="K22" s="10">
        <f t="array" ref="K22">MAX(Attached_Dwellings!$C22:$J22)</f>
        <v>2.7</v>
      </c>
      <c r="L22" s="10">
        <f t="array" ref="L22">MIN(Attached_Dwellings!$C22:$J22)</f>
        <v>-1.8</v>
      </c>
    </row>
    <row r="23" spans="1:12" x14ac:dyDescent="0.2">
      <c r="A23" s="17" t="s">
        <v>29</v>
      </c>
      <c r="B23" s="5" t="s">
        <v>20</v>
      </c>
      <c r="C23" s="11">
        <v>4.6900000000000004</v>
      </c>
      <c r="D23" s="11">
        <v>5.5</v>
      </c>
      <c r="E23" s="11">
        <v>2.1800000000000002</v>
      </c>
      <c r="G23" s="10">
        <f t="array" ref="G23">MAX(Residential_Property!$C23:$J23)</f>
        <v>19.899999999999999</v>
      </c>
      <c r="H23" s="10">
        <f t="array" ref="H23">MIN(Residential_Property!$C23:$J23)</f>
        <v>-3.3</v>
      </c>
      <c r="I23" s="10">
        <f t="array" ref="I23">MAX(Established_Houses!$C23:$J23)</f>
        <v>21.9</v>
      </c>
      <c r="J23" s="10">
        <f t="array" ref="J23">MIN(Established_Houses!$C23:$J23)</f>
        <v>-3.4</v>
      </c>
      <c r="K23" s="10">
        <f t="array" ref="K23">MAX(Attached_Dwellings!$C23:$J23)</f>
        <v>15.8</v>
      </c>
      <c r="L23" s="10">
        <f t="array" ref="L23">MIN(Attached_Dwellings!$C23:$J23)</f>
        <v>-3.2</v>
      </c>
    </row>
    <row r="24" spans="1:12" x14ac:dyDescent="0.2">
      <c r="A24" s="18"/>
      <c r="B24" s="5" t="s">
        <v>21</v>
      </c>
      <c r="C24" s="11">
        <v>4.3</v>
      </c>
      <c r="D24" s="11">
        <v>5.09</v>
      </c>
      <c r="E24" s="11">
        <v>1.9</v>
      </c>
      <c r="G24" s="10">
        <f t="array" ref="G24">MAX(Residential_Property!$C24:$J24)</f>
        <v>13.9</v>
      </c>
      <c r="H24" s="10">
        <f t="array" ref="H24">MIN(Residential_Property!$C24:$J24)</f>
        <v>-3.2</v>
      </c>
      <c r="I24" s="10">
        <f t="array" ref="I24">MAX(Established_Houses!$C24:$J24)</f>
        <v>15.2</v>
      </c>
      <c r="J24" s="10">
        <f t="array" ref="J24">MIN(Established_Houses!$C24:$J24)</f>
        <v>-2.9</v>
      </c>
      <c r="K24" s="10">
        <f t="array" ref="K24">MAX(Attached_Dwellings!$C24:$J24)</f>
        <v>11.2</v>
      </c>
      <c r="L24" s="10">
        <f t="array" ref="L24">MIN(Attached_Dwellings!$C24:$J24)</f>
        <v>-4.2</v>
      </c>
    </row>
    <row r="25" spans="1:12" x14ac:dyDescent="0.2">
      <c r="A25" s="18"/>
      <c r="B25" s="5" t="s">
        <v>22</v>
      </c>
      <c r="C25" s="11">
        <v>3.26</v>
      </c>
      <c r="D25" s="11">
        <v>3.75</v>
      </c>
      <c r="E25" s="11">
        <v>1.53</v>
      </c>
      <c r="G25" s="10">
        <f t="array" ref="G25">MAX(Residential_Property!$C25:$J25)</f>
        <v>9.8000000000000007</v>
      </c>
      <c r="H25" s="10">
        <f t="array" ref="H25">MIN(Residential_Property!$C25:$J25)</f>
        <v>-4.9000000000000004</v>
      </c>
      <c r="I25" s="10">
        <f t="array" ref="I25">MAX(Established_Houses!$C25:$J25)</f>
        <v>11.5</v>
      </c>
      <c r="J25" s="10">
        <f t="array" ref="J25">MIN(Established_Houses!$C25:$J25)</f>
        <v>-5.4</v>
      </c>
      <c r="K25" s="10">
        <f t="array" ref="K25">MAX(Attached_Dwellings!$C25:$J25)</f>
        <v>8.1999999999999993</v>
      </c>
      <c r="L25" s="10">
        <f t="array" ref="L25">MIN(Attached_Dwellings!$C25:$J25)</f>
        <v>-3.6</v>
      </c>
    </row>
    <row r="26" spans="1:12" x14ac:dyDescent="0.2">
      <c r="A26" s="18"/>
      <c r="B26" s="5" t="s">
        <v>23</v>
      </c>
      <c r="C26" s="11">
        <v>2.4</v>
      </c>
      <c r="D26" s="11">
        <v>2.95</v>
      </c>
      <c r="E26" s="11">
        <v>0.66</v>
      </c>
      <c r="G26" s="10">
        <f t="array" ref="G26">MAX(Residential_Property!$C26:$J26)</f>
        <v>8.1999999999999993</v>
      </c>
      <c r="H26" s="10">
        <f t="array" ref="H26">MIN(Residential_Property!$C26:$J26)</f>
        <v>-6.5</v>
      </c>
      <c r="I26" s="10">
        <f t="array" ref="I26">MAX(Established_Houses!$C26:$J26)</f>
        <v>9.9</v>
      </c>
      <c r="J26" s="10">
        <f t="array" ref="J26">MIN(Established_Houses!$C26:$J26)</f>
        <v>-6.8</v>
      </c>
      <c r="K26" s="10">
        <f t="array" ref="K26">MAX(Attached_Dwellings!$C26:$J26)</f>
        <v>6.9</v>
      </c>
      <c r="L26" s="10">
        <f t="array" ref="L26">MIN(Attached_Dwellings!$C26:$J26)</f>
        <v>-5.7</v>
      </c>
    </row>
    <row r="27" spans="1:12" x14ac:dyDescent="0.2">
      <c r="A27" s="18"/>
      <c r="B27" s="5" t="s">
        <v>24</v>
      </c>
      <c r="C27" s="11">
        <v>2.19</v>
      </c>
      <c r="D27" s="11">
        <v>2.48</v>
      </c>
      <c r="E27" s="11">
        <v>0.9</v>
      </c>
      <c r="G27" s="10">
        <f t="array" ref="G27">MAX(Residential_Property!$C27:$J27)</f>
        <v>6.9</v>
      </c>
      <c r="H27" s="10">
        <f t="array" ref="H27">MIN(Residential_Property!$C27:$J27)</f>
        <v>-7.2</v>
      </c>
      <c r="I27" s="10">
        <f t="array" ref="I27">MAX(Established_Houses!$C27:$J27)</f>
        <v>8.6</v>
      </c>
      <c r="J27" s="10">
        <f t="array" ref="J27">MIN(Established_Houses!$C27:$J27)</f>
        <v>-8.5</v>
      </c>
      <c r="K27" s="10">
        <f t="array" ref="K27">MAX(Attached_Dwellings!$C27:$J27)</f>
        <v>7.9</v>
      </c>
      <c r="L27" s="10">
        <f t="array" ref="L27">MIN(Attached_Dwellings!$C27:$J27)</f>
        <v>-4.3</v>
      </c>
    </row>
    <row r="28" spans="1:12" x14ac:dyDescent="0.2">
      <c r="A28" s="18"/>
      <c r="B28" s="5" t="s">
        <v>25</v>
      </c>
      <c r="C28" s="11">
        <v>4.03</v>
      </c>
      <c r="D28" s="11">
        <v>4.6500000000000004</v>
      </c>
      <c r="E28" s="11">
        <v>1.99</v>
      </c>
      <c r="G28" s="10">
        <f t="array" ref="G28">MAX(Residential_Property!$C28:$J28)</f>
        <v>10.8</v>
      </c>
      <c r="H28" s="10">
        <f t="array" ref="H28">MIN(Residential_Property!$C28:$J28)</f>
        <v>-7</v>
      </c>
      <c r="I28" s="10">
        <f t="array" ref="I28">MAX(Established_Houses!$C28:$J28)</f>
        <v>13.1</v>
      </c>
      <c r="J28" s="10">
        <f t="array" ref="J28">MIN(Established_Houses!$C28:$J28)</f>
        <v>-7.9</v>
      </c>
      <c r="K28" s="10">
        <f t="array" ref="K28">MAX(Attached_Dwellings!$C28:$J28)</f>
        <v>11.6</v>
      </c>
      <c r="L28" s="10">
        <f t="array" ref="L28">MIN(Attached_Dwellings!$C28:$J28)</f>
        <v>-5.2</v>
      </c>
    </row>
    <row r="29" spans="1:12" x14ac:dyDescent="0.2">
      <c r="A29" s="18"/>
      <c r="B29" s="5" t="s">
        <v>26</v>
      </c>
      <c r="C29" s="11">
        <v>5.89</v>
      </c>
      <c r="D29" s="11">
        <v>6.8</v>
      </c>
      <c r="E29" s="11">
        <v>2.9</v>
      </c>
      <c r="G29" s="10">
        <f t="array" ref="G29">MAX(Residential_Property!$C29:$J29)</f>
        <v>14.4</v>
      </c>
      <c r="H29" s="10">
        <f t="array" ref="H29">MIN(Residential_Property!$C29:$J29)</f>
        <v>-5.9</v>
      </c>
      <c r="I29" s="10">
        <f t="array" ref="I29">MAX(Established_Houses!$C29:$J29)</f>
        <v>16.100000000000001</v>
      </c>
      <c r="J29" s="10">
        <f t="array" ref="J29">MIN(Established_Houses!$C29:$J29)</f>
        <v>-5.6</v>
      </c>
      <c r="K29" s="10">
        <f t="array" ref="K29">MAX(Attached_Dwellings!$C29:$J29)</f>
        <v>14.6</v>
      </c>
      <c r="L29" s="10">
        <f t="array" ref="L29">MIN(Attached_Dwellings!$C29:$J29)</f>
        <v>-7.1</v>
      </c>
    </row>
    <row r="30" spans="1:12" x14ac:dyDescent="0.2">
      <c r="A30" s="19"/>
      <c r="B30" s="5" t="s">
        <v>27</v>
      </c>
      <c r="C30" s="11">
        <v>5.99</v>
      </c>
      <c r="D30" s="11">
        <v>6.69</v>
      </c>
      <c r="E30" s="11">
        <v>3.48</v>
      </c>
      <c r="G30" s="10">
        <f t="array" ref="G30">MAX(Residential_Property!$C30:$J30)</f>
        <v>13.8</v>
      </c>
      <c r="H30" s="10">
        <f t="array" ref="H30">MIN(Residential_Property!$C30:$J30)</f>
        <v>-4.9000000000000004</v>
      </c>
      <c r="I30" s="10">
        <f t="array" ref="I30">MAX(Established_Houses!$C30:$J30)</f>
        <v>16</v>
      </c>
      <c r="J30" s="10">
        <f t="array" ref="J30">MIN(Established_Houses!$C30:$J30)</f>
        <v>-4.7</v>
      </c>
      <c r="K30" s="10">
        <f t="array" ref="K30">MAX(Attached_Dwellings!$C30:$J30)</f>
        <v>13.8</v>
      </c>
      <c r="L30" s="10">
        <f t="array" ref="L30">MIN(Attached_Dwellings!$C30:$J30)</f>
        <v>-5.5</v>
      </c>
    </row>
    <row r="34" spans="1:4" ht="63.75" x14ac:dyDescent="0.2">
      <c r="A34" s="12" t="s">
        <v>47</v>
      </c>
      <c r="B34">
        <f>COUNTIFS(Residential_Property!$C$15:$J$22,"&lt;0",Established_Houses!$C$15:$J$22,"&lt;0",Attached_Dwellings!$C$15:$J$22,"&lt;0")</f>
        <v>15</v>
      </c>
    </row>
    <row r="35" spans="1:4" ht="76.5" x14ac:dyDescent="0.2">
      <c r="A35" s="12" t="s">
        <v>48</v>
      </c>
      <c r="B35">
        <f t="array" ref="B35">COUNTIFS(Residential_Property!$C$23:$J$30,"&lt;0",Established_Houses!$C$23:$J$30,"&lt;0",Attached_Dwellings!$C$23:$J$30,"&lt;0")</f>
        <v>16</v>
      </c>
    </row>
    <row r="43" spans="1:4" x14ac:dyDescent="0.2">
      <c r="A43" t="s">
        <v>49</v>
      </c>
    </row>
    <row r="46" spans="1:4" x14ac:dyDescent="0.2">
      <c r="A46" t="s">
        <v>50</v>
      </c>
    </row>
    <row r="47" spans="1:4" ht="38.25" x14ac:dyDescent="0.2">
      <c r="A47" s="16" t="s">
        <v>51</v>
      </c>
      <c r="B47" t="s">
        <v>52</v>
      </c>
      <c r="C47" t="s">
        <v>53</v>
      </c>
      <c r="D47" t="s">
        <v>54</v>
      </c>
    </row>
    <row r="48" spans="1:4" x14ac:dyDescent="0.2">
      <c r="A48">
        <v>-1.6</v>
      </c>
      <c r="B48" s="15">
        <v>42339</v>
      </c>
      <c r="C48" t="s">
        <v>7</v>
      </c>
      <c r="D48" t="s">
        <v>3</v>
      </c>
    </row>
    <row r="49" spans="1:4" x14ac:dyDescent="0.2">
      <c r="A49">
        <v>-2.1</v>
      </c>
      <c r="B49" s="15">
        <v>42339</v>
      </c>
      <c r="C49" t="s">
        <v>7</v>
      </c>
      <c r="D49" t="s">
        <v>32</v>
      </c>
    </row>
    <row r="50" spans="1:4" x14ac:dyDescent="0.2">
      <c r="A50">
        <v>-0.8</v>
      </c>
      <c r="B50" s="15">
        <v>42339</v>
      </c>
      <c r="C50" t="s">
        <v>7</v>
      </c>
      <c r="D50" t="s">
        <v>35</v>
      </c>
    </row>
    <row r="51" spans="1:4" x14ac:dyDescent="0.2">
      <c r="A51">
        <v>-0.7</v>
      </c>
      <c r="B51" s="15">
        <v>42430</v>
      </c>
      <c r="C51" t="s">
        <v>7</v>
      </c>
      <c r="D51" t="s">
        <v>3</v>
      </c>
    </row>
    <row r="52" spans="1:4" x14ac:dyDescent="0.2">
      <c r="A52">
        <v>-0.6</v>
      </c>
      <c r="B52" s="15">
        <v>42430</v>
      </c>
      <c r="C52" t="s">
        <v>7</v>
      </c>
      <c r="D52" t="s">
        <v>32</v>
      </c>
    </row>
    <row r="53" spans="1:4" x14ac:dyDescent="0.2">
      <c r="A53">
        <v>-0.6</v>
      </c>
      <c r="B53" s="15">
        <v>42430</v>
      </c>
      <c r="C53" t="s">
        <v>7</v>
      </c>
      <c r="D53" t="s">
        <v>35</v>
      </c>
    </row>
    <row r="54" spans="1:4" x14ac:dyDescent="0.2">
      <c r="A54">
        <v>-0.2</v>
      </c>
      <c r="B54" s="15">
        <v>42795</v>
      </c>
      <c r="C54" t="s">
        <v>9</v>
      </c>
      <c r="D54" t="s">
        <v>32</v>
      </c>
    </row>
    <row r="55" spans="1:4" x14ac:dyDescent="0.2">
      <c r="A55">
        <v>0.6</v>
      </c>
      <c r="B55" s="15">
        <v>42795</v>
      </c>
      <c r="C55" t="s">
        <v>9</v>
      </c>
      <c r="D55" t="s">
        <v>35</v>
      </c>
    </row>
    <row r="56" spans="1:4" x14ac:dyDescent="0.2">
      <c r="A56">
        <v>-2.4</v>
      </c>
      <c r="B56" s="15">
        <v>42248</v>
      </c>
      <c r="C56" t="s">
        <v>11</v>
      </c>
      <c r="D56" t="s">
        <v>3</v>
      </c>
    </row>
    <row r="57" spans="1:4" x14ac:dyDescent="0.2">
      <c r="A57">
        <v>-2.5</v>
      </c>
      <c r="B57" s="15">
        <v>42248</v>
      </c>
      <c r="C57" t="s">
        <v>11</v>
      </c>
      <c r="D57" t="s">
        <v>32</v>
      </c>
    </row>
    <row r="58" spans="1:4" x14ac:dyDescent="0.2">
      <c r="A58">
        <v>-2.1</v>
      </c>
      <c r="B58" s="15">
        <v>42248</v>
      </c>
      <c r="C58" t="s">
        <v>11</v>
      </c>
      <c r="D58" t="s">
        <v>35</v>
      </c>
    </row>
    <row r="59" spans="1:4" x14ac:dyDescent="0.2">
      <c r="A59">
        <v>-1.7</v>
      </c>
      <c r="B59" s="15">
        <v>42430</v>
      </c>
      <c r="C59" t="s">
        <v>11</v>
      </c>
      <c r="D59" t="s">
        <v>3</v>
      </c>
    </row>
    <row r="60" spans="1:4" x14ac:dyDescent="0.2">
      <c r="A60">
        <v>-1.8</v>
      </c>
      <c r="B60" s="15">
        <v>42430</v>
      </c>
      <c r="C60" t="s">
        <v>11</v>
      </c>
      <c r="D60" t="s">
        <v>32</v>
      </c>
    </row>
    <row r="61" spans="1:4" x14ac:dyDescent="0.2">
      <c r="A61">
        <v>-1.1000000000000001</v>
      </c>
      <c r="B61" s="15">
        <v>42430</v>
      </c>
      <c r="C61" t="s">
        <v>11</v>
      </c>
      <c r="D61" t="s">
        <v>35</v>
      </c>
    </row>
    <row r="62" spans="1:4" x14ac:dyDescent="0.2">
      <c r="A62">
        <v>-1.2</v>
      </c>
      <c r="B62" s="15">
        <v>42522</v>
      </c>
      <c r="C62" t="s">
        <v>11</v>
      </c>
      <c r="D62" t="s">
        <v>3</v>
      </c>
    </row>
    <row r="63" spans="1:4" x14ac:dyDescent="0.2">
      <c r="A63">
        <v>-1</v>
      </c>
      <c r="B63" s="15">
        <v>42522</v>
      </c>
      <c r="C63" t="s">
        <v>11</v>
      </c>
      <c r="D63" t="s">
        <v>32</v>
      </c>
    </row>
    <row r="64" spans="1:4" x14ac:dyDescent="0.2">
      <c r="A64">
        <v>-1.7</v>
      </c>
      <c r="B64" s="15">
        <v>42522</v>
      </c>
      <c r="C64" t="s">
        <v>11</v>
      </c>
      <c r="D64" t="s">
        <v>35</v>
      </c>
    </row>
    <row r="65" spans="1:4" x14ac:dyDescent="0.2">
      <c r="A65">
        <v>-1.6</v>
      </c>
      <c r="B65" s="15">
        <v>42614</v>
      </c>
      <c r="C65" t="s">
        <v>11</v>
      </c>
      <c r="D65" t="s">
        <v>3</v>
      </c>
    </row>
    <row r="66" spans="1:4" x14ac:dyDescent="0.2">
      <c r="A66">
        <v>-1.8</v>
      </c>
      <c r="B66" s="15">
        <v>42614</v>
      </c>
      <c r="C66" t="s">
        <v>11</v>
      </c>
      <c r="D66" t="s">
        <v>32</v>
      </c>
    </row>
    <row r="67" spans="1:4" x14ac:dyDescent="0.2">
      <c r="A67">
        <v>-0.8</v>
      </c>
      <c r="B67" s="15">
        <v>42614</v>
      </c>
      <c r="C67" t="s">
        <v>11</v>
      </c>
      <c r="D67" t="s">
        <v>35</v>
      </c>
    </row>
    <row r="68" spans="1:4" x14ac:dyDescent="0.2">
      <c r="A68">
        <v>-1</v>
      </c>
      <c r="B68" s="15">
        <v>42795</v>
      </c>
      <c r="C68" t="s">
        <v>11</v>
      </c>
      <c r="D68" t="s">
        <v>3</v>
      </c>
    </row>
    <row r="69" spans="1:4" x14ac:dyDescent="0.2">
      <c r="A69">
        <v>-1.2</v>
      </c>
      <c r="B69" s="15">
        <v>42795</v>
      </c>
      <c r="C69" t="s">
        <v>11</v>
      </c>
      <c r="D69" t="s">
        <v>32</v>
      </c>
    </row>
    <row r="70" spans="1:4" x14ac:dyDescent="0.2">
      <c r="A70">
        <v>-0.9</v>
      </c>
      <c r="B70" s="15">
        <v>42795</v>
      </c>
      <c r="C70" t="s">
        <v>11</v>
      </c>
      <c r="D70" t="s">
        <v>35</v>
      </c>
    </row>
    <row r="71" spans="1:4" x14ac:dyDescent="0.2">
      <c r="A71">
        <v>-0.8</v>
      </c>
      <c r="B71" s="15">
        <v>42887</v>
      </c>
      <c r="C71" t="s">
        <v>11</v>
      </c>
      <c r="D71" t="s">
        <v>3</v>
      </c>
    </row>
    <row r="72" spans="1:4" x14ac:dyDescent="0.2">
      <c r="A72">
        <v>-0.6</v>
      </c>
      <c r="B72" s="15">
        <v>42887</v>
      </c>
      <c r="C72" t="s">
        <v>11</v>
      </c>
      <c r="D72" t="s">
        <v>32</v>
      </c>
    </row>
    <row r="73" spans="1:4" x14ac:dyDescent="0.2">
      <c r="A73">
        <v>-1.5</v>
      </c>
      <c r="B73" s="15">
        <v>42887</v>
      </c>
      <c r="C73" t="s">
        <v>11</v>
      </c>
      <c r="D73" t="s">
        <v>35</v>
      </c>
    </row>
    <row r="74" spans="1:4" x14ac:dyDescent="0.2">
      <c r="A74">
        <v>-0.4</v>
      </c>
      <c r="B74" s="15">
        <v>42248</v>
      </c>
      <c r="C74" t="s">
        <v>13</v>
      </c>
      <c r="D74" t="s">
        <v>3</v>
      </c>
    </row>
    <row r="75" spans="1:4" x14ac:dyDescent="0.2">
      <c r="A75">
        <v>-0.4</v>
      </c>
      <c r="B75" s="15">
        <v>42248</v>
      </c>
      <c r="C75" t="s">
        <v>13</v>
      </c>
      <c r="D75" t="s">
        <v>32</v>
      </c>
    </row>
    <row r="76" spans="1:4" x14ac:dyDescent="0.2">
      <c r="A76">
        <v>-0.7</v>
      </c>
      <c r="B76" s="15">
        <v>42248</v>
      </c>
      <c r="C76" t="s">
        <v>13</v>
      </c>
      <c r="D76" t="s">
        <v>35</v>
      </c>
    </row>
    <row r="77" spans="1:4" x14ac:dyDescent="0.2">
      <c r="A77">
        <v>-1.8</v>
      </c>
      <c r="B77" s="15">
        <v>42339</v>
      </c>
      <c r="C77" t="s">
        <v>13</v>
      </c>
      <c r="D77" t="s">
        <v>3</v>
      </c>
    </row>
    <row r="78" spans="1:4" x14ac:dyDescent="0.2">
      <c r="A78">
        <v>-1.9</v>
      </c>
      <c r="B78" s="15">
        <v>42339</v>
      </c>
      <c r="C78" t="s">
        <v>13</v>
      </c>
      <c r="D78" t="s">
        <v>32</v>
      </c>
    </row>
    <row r="79" spans="1:4" x14ac:dyDescent="0.2">
      <c r="A79">
        <v>-1.7</v>
      </c>
      <c r="B79" s="15">
        <v>42339</v>
      </c>
      <c r="C79" t="s">
        <v>13</v>
      </c>
      <c r="D79" t="s">
        <v>35</v>
      </c>
    </row>
    <row r="80" spans="1:4" x14ac:dyDescent="0.2">
      <c r="A80">
        <v>-2</v>
      </c>
      <c r="B80" s="15">
        <v>42430</v>
      </c>
      <c r="C80" t="s">
        <v>13</v>
      </c>
      <c r="D80" t="s">
        <v>3</v>
      </c>
    </row>
    <row r="81" spans="1:4" x14ac:dyDescent="0.2">
      <c r="A81">
        <v>-2.8</v>
      </c>
      <c r="B81" s="15">
        <v>42430</v>
      </c>
      <c r="C81" t="s">
        <v>13</v>
      </c>
      <c r="D81" t="s">
        <v>32</v>
      </c>
    </row>
    <row r="82" spans="1:4" x14ac:dyDescent="0.2">
      <c r="A82">
        <v>0.1</v>
      </c>
      <c r="B82" s="15">
        <v>42430</v>
      </c>
      <c r="C82" t="s">
        <v>13</v>
      </c>
      <c r="D82" t="s">
        <v>35</v>
      </c>
    </row>
    <row r="83" spans="1:4" x14ac:dyDescent="0.2">
      <c r="A83">
        <v>-2.4</v>
      </c>
      <c r="B83" s="15">
        <v>42522</v>
      </c>
      <c r="C83" t="s">
        <v>13</v>
      </c>
      <c r="D83" t="s">
        <v>3</v>
      </c>
    </row>
    <row r="84" spans="1:4" x14ac:dyDescent="0.2">
      <c r="A84">
        <v>-1.9</v>
      </c>
      <c r="B84" s="15">
        <v>42522</v>
      </c>
      <c r="C84" t="s">
        <v>13</v>
      </c>
      <c r="D84" t="s">
        <v>32</v>
      </c>
    </row>
    <row r="85" spans="1:4" x14ac:dyDescent="0.2">
      <c r="A85">
        <v>-3.4</v>
      </c>
      <c r="B85" s="15">
        <v>42522</v>
      </c>
      <c r="C85" t="s">
        <v>13</v>
      </c>
      <c r="D85" t="s">
        <v>35</v>
      </c>
    </row>
    <row r="86" spans="1:4" x14ac:dyDescent="0.2">
      <c r="A86">
        <v>-1.2</v>
      </c>
      <c r="B86" s="15">
        <v>42614</v>
      </c>
      <c r="C86" t="s">
        <v>13</v>
      </c>
      <c r="D86" t="s">
        <v>3</v>
      </c>
    </row>
    <row r="87" spans="1:4" x14ac:dyDescent="0.2">
      <c r="A87">
        <v>-2.2000000000000002</v>
      </c>
      <c r="B87" s="15">
        <v>42614</v>
      </c>
      <c r="C87" t="s">
        <v>13</v>
      </c>
      <c r="D87" t="s">
        <v>32</v>
      </c>
    </row>
    <row r="88" spans="1:4" x14ac:dyDescent="0.2">
      <c r="A88">
        <v>0.8</v>
      </c>
      <c r="B88" s="15">
        <v>42614</v>
      </c>
      <c r="C88" t="s">
        <v>13</v>
      </c>
      <c r="D88" t="s">
        <v>35</v>
      </c>
    </row>
    <row r="89" spans="1:4" x14ac:dyDescent="0.2">
      <c r="A89">
        <v>-1.5</v>
      </c>
      <c r="B89" s="15">
        <v>42705</v>
      </c>
      <c r="C89" t="s">
        <v>13</v>
      </c>
      <c r="D89" t="s">
        <v>3</v>
      </c>
    </row>
    <row r="90" spans="1:4" x14ac:dyDescent="0.2">
      <c r="A90">
        <v>-1.2</v>
      </c>
      <c r="B90" s="15">
        <v>42705</v>
      </c>
      <c r="C90" t="s">
        <v>13</v>
      </c>
      <c r="D90" t="s">
        <v>32</v>
      </c>
    </row>
    <row r="91" spans="1:4" x14ac:dyDescent="0.2">
      <c r="A91">
        <v>-2.5</v>
      </c>
      <c r="B91" s="15">
        <v>42705</v>
      </c>
      <c r="C91" t="s">
        <v>13</v>
      </c>
      <c r="D91" t="s">
        <v>35</v>
      </c>
    </row>
    <row r="92" spans="1:4" x14ac:dyDescent="0.2">
      <c r="A92">
        <v>-0.9</v>
      </c>
      <c r="B92" s="15">
        <v>42795</v>
      </c>
      <c r="C92" t="s">
        <v>13</v>
      </c>
      <c r="D92" t="s">
        <v>3</v>
      </c>
    </row>
    <row r="93" spans="1:4" x14ac:dyDescent="0.2">
      <c r="A93">
        <v>-0.4</v>
      </c>
      <c r="B93" s="15">
        <v>42795</v>
      </c>
      <c r="C93" t="s">
        <v>13</v>
      </c>
      <c r="D93" t="s">
        <v>32</v>
      </c>
    </row>
    <row r="94" spans="1:4" x14ac:dyDescent="0.2">
      <c r="A94">
        <v>-2.1</v>
      </c>
      <c r="B94" s="15">
        <v>42795</v>
      </c>
      <c r="C94" t="s">
        <v>13</v>
      </c>
      <c r="D94" t="s">
        <v>35</v>
      </c>
    </row>
    <row r="95" spans="1:4" x14ac:dyDescent="0.2">
      <c r="A95">
        <v>-1.4</v>
      </c>
      <c r="B95" s="15">
        <v>42887</v>
      </c>
      <c r="C95" t="s">
        <v>13</v>
      </c>
      <c r="D95" t="s">
        <v>3</v>
      </c>
    </row>
    <row r="96" spans="1:4" x14ac:dyDescent="0.2">
      <c r="A96">
        <v>-1.1000000000000001</v>
      </c>
      <c r="B96" s="15">
        <v>42887</v>
      </c>
      <c r="C96" t="s">
        <v>13</v>
      </c>
      <c r="D96" t="s">
        <v>32</v>
      </c>
    </row>
    <row r="97" spans="1:4" x14ac:dyDescent="0.2">
      <c r="A97">
        <v>-1.8</v>
      </c>
      <c r="B97" s="15">
        <v>42887</v>
      </c>
      <c r="C97" t="s">
        <v>13</v>
      </c>
      <c r="D97" t="s">
        <v>35</v>
      </c>
    </row>
    <row r="98" spans="1:4" x14ac:dyDescent="0.2">
      <c r="A98">
        <v>-0.4</v>
      </c>
      <c r="B98" s="15">
        <v>42430</v>
      </c>
      <c r="C98" t="s">
        <v>14</v>
      </c>
      <c r="D98" t="s">
        <v>3</v>
      </c>
    </row>
    <row r="99" spans="1:4" x14ac:dyDescent="0.2">
      <c r="A99">
        <v>-0.1</v>
      </c>
      <c r="B99" s="15">
        <v>42430</v>
      </c>
      <c r="C99" t="s">
        <v>14</v>
      </c>
      <c r="D99" t="s">
        <v>32</v>
      </c>
    </row>
    <row r="100" spans="1:4" x14ac:dyDescent="0.2">
      <c r="A100">
        <v>-1.1000000000000001</v>
      </c>
      <c r="B100" s="15">
        <v>42430</v>
      </c>
      <c r="C100" t="s">
        <v>14</v>
      </c>
      <c r="D100" t="s">
        <v>35</v>
      </c>
    </row>
  </sheetData>
  <mergeCells count="3">
    <mergeCell ref="A7:A14"/>
    <mergeCell ref="A15:A22"/>
    <mergeCell ref="A23:A3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sk8">
                <anchor moveWithCells="1" sizeWithCells="1">
                  <from>
                    <xdr:col>0</xdr:col>
                    <xdr:colOff>19050</xdr:colOff>
                    <xdr:row>42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1"/>
  <sheetViews>
    <sheetView showGridLines="0" topLeftCell="B2" workbookViewId="0">
      <selection activeCell="J7" sqref="J7:J30"/>
    </sheetView>
  </sheetViews>
  <sheetFormatPr defaultRowHeight="12.75" x14ac:dyDescent="0.2"/>
  <cols>
    <col min="1" max="2" width="27.42578125" customWidth="1"/>
  </cols>
  <sheetData>
    <row r="1" spans="1:11" hidden="1" x14ac:dyDescent="0.2">
      <c r="A1" s="1" t="e">
        <f ca="1">DotStatQuery(B1)</f>
        <v>#NAME?</v>
      </c>
      <c r="B1" s="1" t="s">
        <v>0</v>
      </c>
    </row>
    <row r="2" spans="1:11" x14ac:dyDescent="0.2">
      <c r="A2" t="s">
        <v>1</v>
      </c>
    </row>
    <row r="3" spans="1:11" x14ac:dyDescent="0.2">
      <c r="A3" s="20" t="s">
        <v>2</v>
      </c>
      <c r="B3" s="21"/>
      <c r="C3" s="22" t="s">
        <v>3</v>
      </c>
      <c r="D3" s="23"/>
      <c r="E3" s="23"/>
      <c r="F3" s="23"/>
      <c r="G3" s="23"/>
      <c r="H3" s="23"/>
      <c r="I3" s="23"/>
      <c r="J3" s="23"/>
      <c r="K3" s="24"/>
    </row>
    <row r="4" spans="1:11" x14ac:dyDescent="0.2">
      <c r="A4" s="20" t="s">
        <v>4</v>
      </c>
      <c r="B4" s="21"/>
      <c r="C4" s="25" t="s">
        <v>5</v>
      </c>
      <c r="D4" s="26"/>
      <c r="E4" s="26"/>
      <c r="F4" s="26"/>
      <c r="G4" s="26"/>
      <c r="H4" s="26"/>
      <c r="I4" s="26"/>
      <c r="J4" s="26"/>
      <c r="K4" s="27"/>
    </row>
    <row r="5" spans="1:11" ht="52.5" x14ac:dyDescent="0.2">
      <c r="A5" s="13" t="s">
        <v>6</v>
      </c>
      <c r="B5" s="14"/>
      <c r="C5" s="2" t="s">
        <v>7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14</v>
      </c>
      <c r="K5" s="2" t="s">
        <v>15</v>
      </c>
    </row>
    <row r="6" spans="1:11" ht="13.5" x14ac:dyDescent="0.25">
      <c r="A6" s="3" t="s">
        <v>16</v>
      </c>
      <c r="B6" s="3" t="s">
        <v>17</v>
      </c>
      <c r="C6" s="4" t="s">
        <v>18</v>
      </c>
      <c r="D6" s="4" t="s">
        <v>18</v>
      </c>
      <c r="E6" s="4" t="s">
        <v>18</v>
      </c>
      <c r="F6" s="4" t="s">
        <v>18</v>
      </c>
      <c r="G6" s="4" t="s">
        <v>18</v>
      </c>
      <c r="H6" s="4" t="s">
        <v>18</v>
      </c>
      <c r="I6" s="4" t="s">
        <v>18</v>
      </c>
      <c r="J6" s="4" t="s">
        <v>18</v>
      </c>
      <c r="K6" s="4" t="s">
        <v>18</v>
      </c>
    </row>
    <row r="7" spans="1:11" x14ac:dyDescent="0.2">
      <c r="A7" s="17" t="s">
        <v>19</v>
      </c>
      <c r="B7" s="5" t="s">
        <v>20</v>
      </c>
      <c r="C7" s="6">
        <v>154.4</v>
      </c>
      <c r="D7" s="6">
        <v>124.3</v>
      </c>
      <c r="E7" s="6">
        <v>115.2</v>
      </c>
      <c r="F7" s="6">
        <v>109.8</v>
      </c>
      <c r="G7" s="6">
        <v>110.7</v>
      </c>
      <c r="H7" s="6">
        <v>106.2</v>
      </c>
      <c r="I7" s="6">
        <v>112.1</v>
      </c>
      <c r="J7" s="6">
        <v>107.6</v>
      </c>
      <c r="K7" s="6">
        <v>130.4</v>
      </c>
    </row>
    <row r="8" spans="1:11" x14ac:dyDescent="0.2">
      <c r="A8" s="18"/>
      <c r="B8" s="5" t="s">
        <v>21</v>
      </c>
      <c r="C8" s="7">
        <v>151.9</v>
      </c>
      <c r="D8" s="7">
        <v>126.3</v>
      </c>
      <c r="E8" s="7">
        <v>117</v>
      </c>
      <c r="F8" s="7">
        <v>110.8</v>
      </c>
      <c r="G8" s="7">
        <v>111.2</v>
      </c>
      <c r="H8" s="7">
        <v>108.9</v>
      </c>
      <c r="I8" s="7">
        <v>110.1</v>
      </c>
      <c r="J8" s="7">
        <v>110.6</v>
      </c>
      <c r="K8" s="7">
        <v>130.6</v>
      </c>
    </row>
    <row r="9" spans="1:11" x14ac:dyDescent="0.2">
      <c r="A9" s="18"/>
      <c r="B9" s="5" t="s">
        <v>22</v>
      </c>
      <c r="C9" s="6">
        <v>150.9</v>
      </c>
      <c r="D9" s="6">
        <v>127.3</v>
      </c>
      <c r="E9" s="6">
        <v>117.3</v>
      </c>
      <c r="F9" s="6">
        <v>111.4</v>
      </c>
      <c r="G9" s="6">
        <v>109.3</v>
      </c>
      <c r="H9" s="6">
        <v>110.1</v>
      </c>
      <c r="I9" s="6">
        <v>107.9</v>
      </c>
      <c r="J9" s="6">
        <v>110.2</v>
      </c>
      <c r="K9" s="6">
        <v>130.4</v>
      </c>
    </row>
    <row r="10" spans="1:11" x14ac:dyDescent="0.2">
      <c r="A10" s="18"/>
      <c r="B10" s="5" t="s">
        <v>23</v>
      </c>
      <c r="C10" s="7">
        <v>155.19999999999999</v>
      </c>
      <c r="D10" s="7">
        <v>130.69999999999999</v>
      </c>
      <c r="E10" s="7">
        <v>118.6</v>
      </c>
      <c r="F10" s="7">
        <v>112.3</v>
      </c>
      <c r="G10" s="7">
        <v>108</v>
      </c>
      <c r="H10" s="7">
        <v>110.9</v>
      </c>
      <c r="I10" s="7">
        <v>105.3</v>
      </c>
      <c r="J10" s="7">
        <v>112.6</v>
      </c>
      <c r="K10" s="7">
        <v>133</v>
      </c>
    </row>
    <row r="11" spans="1:11" x14ac:dyDescent="0.2">
      <c r="A11" s="18"/>
      <c r="B11" s="5" t="s">
        <v>24</v>
      </c>
      <c r="C11" s="6">
        <v>159.30000000000001</v>
      </c>
      <c r="D11" s="6">
        <v>132.9</v>
      </c>
      <c r="E11" s="6">
        <v>118.8</v>
      </c>
      <c r="F11" s="6">
        <v>113.3</v>
      </c>
      <c r="G11" s="6">
        <v>106.3</v>
      </c>
      <c r="H11" s="6">
        <v>113.4</v>
      </c>
      <c r="I11" s="6">
        <v>104</v>
      </c>
      <c r="J11" s="6">
        <v>113.5</v>
      </c>
      <c r="K11" s="6">
        <v>135</v>
      </c>
    </row>
    <row r="12" spans="1:11" x14ac:dyDescent="0.2">
      <c r="A12" s="18"/>
      <c r="B12" s="5" t="s">
        <v>25</v>
      </c>
      <c r="C12" s="7">
        <v>167.6</v>
      </c>
      <c r="D12" s="7">
        <v>140</v>
      </c>
      <c r="E12" s="7">
        <v>121.4</v>
      </c>
      <c r="F12" s="7">
        <v>115.3</v>
      </c>
      <c r="G12" s="7">
        <v>106.6</v>
      </c>
      <c r="H12" s="7">
        <v>118.5</v>
      </c>
      <c r="I12" s="7">
        <v>102.4</v>
      </c>
      <c r="J12" s="7">
        <v>116.7</v>
      </c>
      <c r="K12" s="7">
        <v>140.6</v>
      </c>
    </row>
    <row r="13" spans="1:11" x14ac:dyDescent="0.2">
      <c r="A13" s="18"/>
      <c r="B13" s="5" t="s">
        <v>26</v>
      </c>
      <c r="C13" s="6">
        <v>172.7</v>
      </c>
      <c r="D13" s="6">
        <v>144.4</v>
      </c>
      <c r="E13" s="6">
        <v>121.4</v>
      </c>
      <c r="F13" s="6">
        <v>117</v>
      </c>
      <c r="G13" s="6">
        <v>105.5</v>
      </c>
      <c r="H13" s="6">
        <v>122.5</v>
      </c>
      <c r="I13" s="6">
        <v>101.5</v>
      </c>
      <c r="J13" s="6">
        <v>120</v>
      </c>
      <c r="K13" s="6">
        <v>143.69999999999999</v>
      </c>
    </row>
    <row r="14" spans="1:11" x14ac:dyDescent="0.2">
      <c r="A14" s="19"/>
      <c r="B14" s="5" t="s">
        <v>27</v>
      </c>
      <c r="C14" s="7">
        <v>176.6</v>
      </c>
      <c r="D14" s="7">
        <v>148.69999999999999</v>
      </c>
      <c r="E14" s="7">
        <v>122.1</v>
      </c>
      <c r="F14" s="7">
        <v>117.9</v>
      </c>
      <c r="G14" s="7">
        <v>104.7</v>
      </c>
      <c r="H14" s="7">
        <v>124.7</v>
      </c>
      <c r="I14" s="7">
        <v>100.1</v>
      </c>
      <c r="J14" s="7">
        <v>121.5</v>
      </c>
      <c r="K14" s="7">
        <v>146.5</v>
      </c>
    </row>
    <row r="15" spans="1:11" x14ac:dyDescent="0.2">
      <c r="A15" s="17" t="s">
        <v>28</v>
      </c>
      <c r="B15" s="5" t="s">
        <v>20</v>
      </c>
      <c r="C15" s="6">
        <v>3.1</v>
      </c>
      <c r="D15" s="6">
        <v>2.9</v>
      </c>
      <c r="E15" s="6">
        <v>1.3</v>
      </c>
      <c r="F15" s="6">
        <v>1.2</v>
      </c>
      <c r="G15" s="6">
        <v>-2.4</v>
      </c>
      <c r="H15" s="6">
        <v>0.5</v>
      </c>
      <c r="I15" s="6">
        <v>-0.4</v>
      </c>
      <c r="J15" s="6">
        <v>1.3</v>
      </c>
      <c r="K15" s="6">
        <v>2</v>
      </c>
    </row>
    <row r="16" spans="1:11" x14ac:dyDescent="0.2">
      <c r="A16" s="18"/>
      <c r="B16" s="5" t="s">
        <v>21</v>
      </c>
      <c r="C16" s="7">
        <v>-1.6</v>
      </c>
      <c r="D16" s="7">
        <v>1.6</v>
      </c>
      <c r="E16" s="7">
        <v>1.6</v>
      </c>
      <c r="F16" s="7">
        <v>0.9</v>
      </c>
      <c r="G16" s="7">
        <v>0.5</v>
      </c>
      <c r="H16" s="7">
        <v>2.5</v>
      </c>
      <c r="I16" s="7">
        <v>-1.8</v>
      </c>
      <c r="J16" s="7">
        <v>2.8</v>
      </c>
      <c r="K16" s="7">
        <v>0.2</v>
      </c>
    </row>
    <row r="17" spans="1:11" x14ac:dyDescent="0.2">
      <c r="A17" s="18"/>
      <c r="B17" s="5" t="s">
        <v>22</v>
      </c>
      <c r="C17" s="6">
        <v>-0.7</v>
      </c>
      <c r="D17" s="6">
        <v>0.8</v>
      </c>
      <c r="E17" s="6">
        <v>0.3</v>
      </c>
      <c r="F17" s="6">
        <v>0.5</v>
      </c>
      <c r="G17" s="6">
        <v>-1.7</v>
      </c>
      <c r="H17" s="6">
        <v>1.1000000000000001</v>
      </c>
      <c r="I17" s="6">
        <v>-2</v>
      </c>
      <c r="J17" s="6">
        <v>-0.4</v>
      </c>
      <c r="K17" s="6">
        <v>-0.2</v>
      </c>
    </row>
    <row r="18" spans="1:11" x14ac:dyDescent="0.2">
      <c r="A18" s="18"/>
      <c r="B18" s="5" t="s">
        <v>23</v>
      </c>
      <c r="C18" s="7">
        <v>2.8</v>
      </c>
      <c r="D18" s="7">
        <v>2.7</v>
      </c>
      <c r="E18" s="7">
        <v>1.1000000000000001</v>
      </c>
      <c r="F18" s="7">
        <v>0.8</v>
      </c>
      <c r="G18" s="7">
        <v>-1.2</v>
      </c>
      <c r="H18" s="7">
        <v>0.7</v>
      </c>
      <c r="I18" s="7">
        <v>-2.4</v>
      </c>
      <c r="J18" s="7">
        <v>2.2000000000000002</v>
      </c>
      <c r="K18" s="7">
        <v>2</v>
      </c>
    </row>
    <row r="19" spans="1:11" x14ac:dyDescent="0.2">
      <c r="A19" s="18"/>
      <c r="B19" s="5" t="s">
        <v>24</v>
      </c>
      <c r="C19" s="6">
        <v>2.6</v>
      </c>
      <c r="D19" s="6">
        <v>1.7</v>
      </c>
      <c r="E19" s="6">
        <v>0.2</v>
      </c>
      <c r="F19" s="6">
        <v>0.9</v>
      </c>
      <c r="G19" s="6">
        <v>-1.6</v>
      </c>
      <c r="H19" s="6">
        <v>2.2999999999999998</v>
      </c>
      <c r="I19" s="6">
        <v>-1.2</v>
      </c>
      <c r="J19" s="6">
        <v>0.8</v>
      </c>
      <c r="K19" s="6">
        <v>1.5</v>
      </c>
    </row>
    <row r="20" spans="1:11" x14ac:dyDescent="0.2">
      <c r="A20" s="18"/>
      <c r="B20" s="5" t="s">
        <v>25</v>
      </c>
      <c r="C20" s="7">
        <v>5.2</v>
      </c>
      <c r="D20" s="7">
        <v>5.3</v>
      </c>
      <c r="E20" s="7">
        <v>2.2000000000000002</v>
      </c>
      <c r="F20" s="7">
        <v>1.8</v>
      </c>
      <c r="G20" s="7">
        <v>0.3</v>
      </c>
      <c r="H20" s="7">
        <v>4.5</v>
      </c>
      <c r="I20" s="7">
        <v>-1.5</v>
      </c>
      <c r="J20" s="7">
        <v>2.8</v>
      </c>
      <c r="K20" s="7">
        <v>4.0999999999999996</v>
      </c>
    </row>
    <row r="21" spans="1:11" x14ac:dyDescent="0.2">
      <c r="A21" s="18"/>
      <c r="B21" s="5" t="s">
        <v>26</v>
      </c>
      <c r="C21" s="6">
        <v>3</v>
      </c>
      <c r="D21" s="6">
        <v>3.1</v>
      </c>
      <c r="E21" s="6">
        <v>0</v>
      </c>
      <c r="F21" s="6">
        <v>1.5</v>
      </c>
      <c r="G21" s="6">
        <v>-1</v>
      </c>
      <c r="H21" s="6">
        <v>3.4</v>
      </c>
      <c r="I21" s="6">
        <v>-0.9</v>
      </c>
      <c r="J21" s="6">
        <v>2.8</v>
      </c>
      <c r="K21" s="6">
        <v>2.2000000000000002</v>
      </c>
    </row>
    <row r="22" spans="1:11" x14ac:dyDescent="0.2">
      <c r="A22" s="19"/>
      <c r="B22" s="5" t="s">
        <v>27</v>
      </c>
      <c r="C22" s="7">
        <v>2.2999999999999998</v>
      </c>
      <c r="D22" s="7">
        <v>3</v>
      </c>
      <c r="E22" s="7">
        <v>0.6</v>
      </c>
      <c r="F22" s="7">
        <v>0.8</v>
      </c>
      <c r="G22" s="7">
        <v>-0.8</v>
      </c>
      <c r="H22" s="7">
        <v>1.8</v>
      </c>
      <c r="I22" s="7">
        <v>-1.4</v>
      </c>
      <c r="J22" s="7">
        <v>1.3</v>
      </c>
      <c r="K22" s="7">
        <v>1.9</v>
      </c>
    </row>
    <row r="23" spans="1:11" x14ac:dyDescent="0.2">
      <c r="A23" s="17" t="s">
        <v>29</v>
      </c>
      <c r="B23" s="5" t="s">
        <v>20</v>
      </c>
      <c r="C23" s="6">
        <v>19.899999999999999</v>
      </c>
      <c r="D23" s="6">
        <v>9.9</v>
      </c>
      <c r="E23" s="6">
        <v>3.8</v>
      </c>
      <c r="F23" s="6">
        <v>3.5</v>
      </c>
      <c r="G23" s="6">
        <v>-3.3</v>
      </c>
      <c r="H23" s="6">
        <v>1.7</v>
      </c>
      <c r="I23" s="6">
        <v>-2</v>
      </c>
      <c r="J23" s="6">
        <v>4</v>
      </c>
      <c r="K23" s="6">
        <v>10.7</v>
      </c>
    </row>
    <row r="24" spans="1:11" x14ac:dyDescent="0.2">
      <c r="A24" s="18"/>
      <c r="B24" s="5" t="s">
        <v>21</v>
      </c>
      <c r="C24" s="7">
        <v>13.9</v>
      </c>
      <c r="D24" s="7">
        <v>9.6</v>
      </c>
      <c r="E24" s="7">
        <v>4.2</v>
      </c>
      <c r="F24" s="7">
        <v>3.3</v>
      </c>
      <c r="G24" s="7">
        <v>-2.9</v>
      </c>
      <c r="H24" s="7">
        <v>3.5</v>
      </c>
      <c r="I24" s="7">
        <v>-3.2</v>
      </c>
      <c r="J24" s="7">
        <v>6</v>
      </c>
      <c r="K24" s="7">
        <v>8.6999999999999993</v>
      </c>
    </row>
    <row r="25" spans="1:11" x14ac:dyDescent="0.2">
      <c r="A25" s="18"/>
      <c r="B25" s="5" t="s">
        <v>22</v>
      </c>
      <c r="C25" s="6">
        <v>9.6999999999999993</v>
      </c>
      <c r="D25" s="6">
        <v>9.8000000000000007</v>
      </c>
      <c r="E25" s="6">
        <v>4.0999999999999996</v>
      </c>
      <c r="F25" s="6">
        <v>3.1</v>
      </c>
      <c r="G25" s="6">
        <v>-4.5</v>
      </c>
      <c r="H25" s="6">
        <v>4.2</v>
      </c>
      <c r="I25" s="6">
        <v>-4.9000000000000004</v>
      </c>
      <c r="J25" s="6">
        <v>4.5999999999999996</v>
      </c>
      <c r="K25" s="6">
        <v>6.8</v>
      </c>
    </row>
    <row r="26" spans="1:11" x14ac:dyDescent="0.2">
      <c r="A26" s="18"/>
      <c r="B26" s="5" t="s">
        <v>23</v>
      </c>
      <c r="C26" s="7">
        <v>3.6</v>
      </c>
      <c r="D26" s="7">
        <v>8.1999999999999993</v>
      </c>
      <c r="E26" s="7">
        <v>4.3</v>
      </c>
      <c r="F26" s="7">
        <v>3.5</v>
      </c>
      <c r="G26" s="7">
        <v>-4.8</v>
      </c>
      <c r="H26" s="7">
        <v>4.9000000000000004</v>
      </c>
      <c r="I26" s="7">
        <v>-6.5</v>
      </c>
      <c r="J26" s="7">
        <v>6</v>
      </c>
      <c r="K26" s="7">
        <v>4.0999999999999996</v>
      </c>
    </row>
    <row r="27" spans="1:11" x14ac:dyDescent="0.2">
      <c r="A27" s="18"/>
      <c r="B27" s="5" t="s">
        <v>24</v>
      </c>
      <c r="C27" s="6">
        <v>3.2</v>
      </c>
      <c r="D27" s="6">
        <v>6.9</v>
      </c>
      <c r="E27" s="6">
        <v>3.1</v>
      </c>
      <c r="F27" s="6">
        <v>3.2</v>
      </c>
      <c r="G27" s="6">
        <v>-4</v>
      </c>
      <c r="H27" s="6">
        <v>6.8</v>
      </c>
      <c r="I27" s="6">
        <v>-7.2</v>
      </c>
      <c r="J27" s="6">
        <v>5.5</v>
      </c>
      <c r="K27" s="6">
        <v>3.5</v>
      </c>
    </row>
    <row r="28" spans="1:11" x14ac:dyDescent="0.2">
      <c r="A28" s="18"/>
      <c r="B28" s="5" t="s">
        <v>25</v>
      </c>
      <c r="C28" s="7">
        <v>10.3</v>
      </c>
      <c r="D28" s="7">
        <v>10.8</v>
      </c>
      <c r="E28" s="7">
        <v>3.8</v>
      </c>
      <c r="F28" s="7">
        <v>4.0999999999999996</v>
      </c>
      <c r="G28" s="7">
        <v>-4.0999999999999996</v>
      </c>
      <c r="H28" s="7">
        <v>8.8000000000000007</v>
      </c>
      <c r="I28" s="7">
        <v>-7</v>
      </c>
      <c r="J28" s="7">
        <v>5.5</v>
      </c>
      <c r="K28" s="7">
        <v>7.7</v>
      </c>
    </row>
    <row r="29" spans="1:11" x14ac:dyDescent="0.2">
      <c r="A29" s="18"/>
      <c r="B29" s="5" t="s">
        <v>26</v>
      </c>
      <c r="C29" s="6">
        <v>14.4</v>
      </c>
      <c r="D29" s="6">
        <v>13.4</v>
      </c>
      <c r="E29" s="6">
        <v>3.5</v>
      </c>
      <c r="F29" s="6">
        <v>5</v>
      </c>
      <c r="G29" s="6">
        <v>-3.5</v>
      </c>
      <c r="H29" s="6">
        <v>11.3</v>
      </c>
      <c r="I29" s="6">
        <v>-5.9</v>
      </c>
      <c r="J29" s="6">
        <v>8.9</v>
      </c>
      <c r="K29" s="6">
        <v>10.199999999999999</v>
      </c>
    </row>
    <row r="30" spans="1:11" x14ac:dyDescent="0.2">
      <c r="A30" s="19"/>
      <c r="B30" s="5" t="s">
        <v>27</v>
      </c>
      <c r="C30" s="7">
        <v>13.8</v>
      </c>
      <c r="D30" s="7">
        <v>13.8</v>
      </c>
      <c r="E30" s="7">
        <v>3</v>
      </c>
      <c r="F30" s="7">
        <v>5</v>
      </c>
      <c r="G30" s="7">
        <v>-3.1</v>
      </c>
      <c r="H30" s="7">
        <v>12.4</v>
      </c>
      <c r="I30" s="7">
        <v>-4.9000000000000004</v>
      </c>
      <c r="J30" s="7">
        <v>7.9</v>
      </c>
      <c r="K30" s="7">
        <v>10.199999999999999</v>
      </c>
    </row>
    <row r="31" spans="1:11" x14ac:dyDescent="0.2">
      <c r="A31" t="s">
        <v>30</v>
      </c>
    </row>
  </sheetData>
  <mergeCells count="7">
    <mergeCell ref="A15:A22"/>
    <mergeCell ref="A23:A30"/>
    <mergeCell ref="A3:B3"/>
    <mergeCell ref="C3:K3"/>
    <mergeCell ref="A4:B4"/>
    <mergeCell ref="C4:K4"/>
    <mergeCell ref="A7:A14"/>
  </mergeCells>
  <hyperlinks>
    <hyperlink ref="C3" r:id="rId1" tooltip="Click once to display linked information. Click and hold to select this cell." display="http://stat.data.abs.gov.au/OECDStat_Metadata/ShowMetadata.ashx?Dataset=RES_PROP_INDEX&amp;Coords=[PROP_TYPE].[3]&amp;ShowOnWeb=true&amp;Lang=en"/>
  </hyperlinks>
  <pageMargins left="0.75" right="0.75" top="1" bottom="1" header="0.5" footer="0.5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"/>
  <sheetViews>
    <sheetView topLeftCell="A2" workbookViewId="0">
      <selection activeCell="J7" sqref="J7:J30"/>
    </sheetView>
  </sheetViews>
  <sheetFormatPr defaultRowHeight="12.75" x14ac:dyDescent="0.2"/>
  <cols>
    <col min="1" max="2" width="27.42578125" customWidth="1"/>
  </cols>
  <sheetData>
    <row r="1" spans="1:11" hidden="1" x14ac:dyDescent="0.2">
      <c r="A1" s="1" t="e">
        <f ca="1">DotStatQuery(B1)</f>
        <v>#NAME?</v>
      </c>
      <c r="B1" s="1" t="s">
        <v>31</v>
      </c>
    </row>
    <row r="2" spans="1:11" x14ac:dyDescent="0.2">
      <c r="A2" t="s">
        <v>1</v>
      </c>
    </row>
    <row r="3" spans="1:11" x14ac:dyDescent="0.2">
      <c r="A3" s="20" t="s">
        <v>2</v>
      </c>
      <c r="B3" s="21"/>
      <c r="C3" s="25" t="s">
        <v>32</v>
      </c>
      <c r="D3" s="26"/>
      <c r="E3" s="26"/>
      <c r="F3" s="26"/>
      <c r="G3" s="26"/>
      <c r="H3" s="26"/>
      <c r="I3" s="26"/>
      <c r="J3" s="26"/>
      <c r="K3" s="27"/>
    </row>
    <row r="4" spans="1:11" x14ac:dyDescent="0.2">
      <c r="A4" s="20" t="s">
        <v>4</v>
      </c>
      <c r="B4" s="21"/>
      <c r="C4" s="25" t="s">
        <v>5</v>
      </c>
      <c r="D4" s="26"/>
      <c r="E4" s="26"/>
      <c r="F4" s="26"/>
      <c r="G4" s="26"/>
      <c r="H4" s="26"/>
      <c r="I4" s="26"/>
      <c r="J4" s="26"/>
      <c r="K4" s="27"/>
    </row>
    <row r="5" spans="1:11" ht="52.5" x14ac:dyDescent="0.2">
      <c r="A5" s="28" t="s">
        <v>6</v>
      </c>
      <c r="B5" s="29"/>
      <c r="C5" s="2" t="s">
        <v>7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14</v>
      </c>
      <c r="K5" s="2" t="s">
        <v>15</v>
      </c>
    </row>
    <row r="6" spans="1:11" ht="13.5" x14ac:dyDescent="0.25">
      <c r="A6" s="3" t="s">
        <v>16</v>
      </c>
      <c r="B6" s="3" t="s">
        <v>17</v>
      </c>
      <c r="C6" s="4" t="s">
        <v>18</v>
      </c>
      <c r="D6" s="4" t="s">
        <v>18</v>
      </c>
      <c r="E6" s="4" t="s">
        <v>18</v>
      </c>
      <c r="F6" s="4" t="s">
        <v>18</v>
      </c>
      <c r="G6" s="4" t="s">
        <v>18</v>
      </c>
      <c r="H6" s="4" t="s">
        <v>18</v>
      </c>
      <c r="I6" s="4" t="s">
        <v>18</v>
      </c>
      <c r="J6" s="4" t="s">
        <v>18</v>
      </c>
      <c r="K6" s="4" t="s">
        <v>18</v>
      </c>
    </row>
    <row r="7" spans="1:11" x14ac:dyDescent="0.2">
      <c r="A7" s="17" t="s">
        <v>19</v>
      </c>
      <c r="B7" s="5" t="s">
        <v>20</v>
      </c>
      <c r="C7" s="6">
        <v>159.1</v>
      </c>
      <c r="D7" s="6">
        <v>127.5</v>
      </c>
      <c r="E7" s="6">
        <v>116.4</v>
      </c>
      <c r="F7" s="6">
        <v>111.4</v>
      </c>
      <c r="G7" s="6">
        <v>111.4</v>
      </c>
      <c r="H7" s="6">
        <v>107</v>
      </c>
      <c r="I7" s="6">
        <v>112.9</v>
      </c>
      <c r="J7" s="6">
        <v>110.2</v>
      </c>
      <c r="K7" s="6">
        <v>131.9</v>
      </c>
    </row>
    <row r="8" spans="1:11" x14ac:dyDescent="0.2">
      <c r="A8" s="18"/>
      <c r="B8" s="5" t="s">
        <v>21</v>
      </c>
      <c r="C8" s="7">
        <v>155.69999999999999</v>
      </c>
      <c r="D8" s="7">
        <v>129.80000000000001</v>
      </c>
      <c r="E8" s="7">
        <v>118.4</v>
      </c>
      <c r="F8" s="7">
        <v>112.8</v>
      </c>
      <c r="G8" s="7">
        <v>111.9</v>
      </c>
      <c r="H8" s="7">
        <v>109.8</v>
      </c>
      <c r="I8" s="7">
        <v>110.8</v>
      </c>
      <c r="J8" s="7">
        <v>113.7</v>
      </c>
      <c r="K8" s="7">
        <v>132.1</v>
      </c>
    </row>
    <row r="9" spans="1:11" x14ac:dyDescent="0.2">
      <c r="A9" s="18"/>
      <c r="B9" s="5" t="s">
        <v>22</v>
      </c>
      <c r="C9" s="6">
        <v>154.80000000000001</v>
      </c>
      <c r="D9" s="6">
        <v>131.6</v>
      </c>
      <c r="E9" s="6">
        <v>118.6</v>
      </c>
      <c r="F9" s="6">
        <v>113.5</v>
      </c>
      <c r="G9" s="6">
        <v>109.9</v>
      </c>
      <c r="H9" s="6">
        <v>110.8</v>
      </c>
      <c r="I9" s="6">
        <v>107.7</v>
      </c>
      <c r="J9" s="6">
        <v>113.6</v>
      </c>
      <c r="K9" s="6">
        <v>132.1</v>
      </c>
    </row>
    <row r="10" spans="1:11" x14ac:dyDescent="0.2">
      <c r="A10" s="18"/>
      <c r="B10" s="5" t="s">
        <v>23</v>
      </c>
      <c r="C10" s="7">
        <v>159.69999999999999</v>
      </c>
      <c r="D10" s="7">
        <v>135.69999999999999</v>
      </c>
      <c r="E10" s="7">
        <v>120</v>
      </c>
      <c r="F10" s="7">
        <v>114.6</v>
      </c>
      <c r="G10" s="7">
        <v>108.8</v>
      </c>
      <c r="H10" s="7">
        <v>111.5</v>
      </c>
      <c r="I10" s="7">
        <v>105.6</v>
      </c>
      <c r="J10" s="7">
        <v>116.8</v>
      </c>
      <c r="K10" s="7">
        <v>135.1</v>
      </c>
    </row>
    <row r="11" spans="1:11" x14ac:dyDescent="0.2">
      <c r="A11" s="18"/>
      <c r="B11" s="5" t="s">
        <v>24</v>
      </c>
      <c r="C11" s="6">
        <v>164.4</v>
      </c>
      <c r="D11" s="6">
        <v>138.5</v>
      </c>
      <c r="E11" s="6">
        <v>120.4</v>
      </c>
      <c r="F11" s="6">
        <v>115.7</v>
      </c>
      <c r="G11" s="6">
        <v>106.8</v>
      </c>
      <c r="H11" s="6">
        <v>113.9</v>
      </c>
      <c r="I11" s="6">
        <v>103.3</v>
      </c>
      <c r="J11" s="6">
        <v>117.7</v>
      </c>
      <c r="K11" s="6">
        <v>137.30000000000001</v>
      </c>
    </row>
    <row r="12" spans="1:11" x14ac:dyDescent="0.2">
      <c r="A12" s="18"/>
      <c r="B12" s="5" t="s">
        <v>25</v>
      </c>
      <c r="C12" s="7">
        <v>174.4</v>
      </c>
      <c r="D12" s="7">
        <v>146.80000000000001</v>
      </c>
      <c r="E12" s="7">
        <v>123.9</v>
      </c>
      <c r="F12" s="7">
        <v>117.7</v>
      </c>
      <c r="G12" s="7">
        <v>107.7</v>
      </c>
      <c r="H12" s="7">
        <v>118.9</v>
      </c>
      <c r="I12" s="7">
        <v>102.1</v>
      </c>
      <c r="J12" s="7">
        <v>121.2</v>
      </c>
      <c r="K12" s="7">
        <v>143.80000000000001</v>
      </c>
    </row>
    <row r="13" spans="1:11" x14ac:dyDescent="0.2">
      <c r="A13" s="18"/>
      <c r="B13" s="5" t="s">
        <v>26</v>
      </c>
      <c r="C13" s="6">
        <v>179.5</v>
      </c>
      <c r="D13" s="6">
        <v>152.80000000000001</v>
      </c>
      <c r="E13" s="6">
        <v>123.7</v>
      </c>
      <c r="F13" s="6">
        <v>119.8</v>
      </c>
      <c r="G13" s="6">
        <v>106.4</v>
      </c>
      <c r="H13" s="6">
        <v>122.6</v>
      </c>
      <c r="I13" s="6">
        <v>101.7</v>
      </c>
      <c r="J13" s="6">
        <v>125.6</v>
      </c>
      <c r="K13" s="6">
        <v>147.30000000000001</v>
      </c>
    </row>
    <row r="14" spans="1:11" x14ac:dyDescent="0.2">
      <c r="A14" s="19"/>
      <c r="B14" s="5" t="s">
        <v>27</v>
      </c>
      <c r="C14" s="7">
        <v>183.3</v>
      </c>
      <c r="D14" s="7">
        <v>157.4</v>
      </c>
      <c r="E14" s="7">
        <v>124.7</v>
      </c>
      <c r="F14" s="7">
        <v>120.4</v>
      </c>
      <c r="G14" s="7">
        <v>105.8</v>
      </c>
      <c r="H14" s="7">
        <v>125.1</v>
      </c>
      <c r="I14" s="7">
        <v>100.6</v>
      </c>
      <c r="J14" s="7">
        <v>127.3</v>
      </c>
      <c r="K14" s="7">
        <v>150.1</v>
      </c>
    </row>
    <row r="15" spans="1:11" x14ac:dyDescent="0.2">
      <c r="A15" s="17" t="s">
        <v>28</v>
      </c>
      <c r="B15" s="5" t="s">
        <v>20</v>
      </c>
      <c r="C15" s="6">
        <v>3.3</v>
      </c>
      <c r="D15" s="6">
        <v>3.2</v>
      </c>
      <c r="E15" s="6">
        <v>1.7</v>
      </c>
      <c r="F15" s="6">
        <v>1.3</v>
      </c>
      <c r="G15" s="6">
        <v>-2.5</v>
      </c>
      <c r="H15" s="6">
        <v>0.4</v>
      </c>
      <c r="I15" s="6">
        <v>-0.4</v>
      </c>
      <c r="J15" s="6">
        <v>1.8</v>
      </c>
      <c r="K15" s="6">
        <v>2.2000000000000002</v>
      </c>
    </row>
    <row r="16" spans="1:11" x14ac:dyDescent="0.2">
      <c r="A16" s="18"/>
      <c r="B16" s="5" t="s">
        <v>21</v>
      </c>
      <c r="C16" s="7">
        <v>-2.1</v>
      </c>
      <c r="D16" s="7">
        <v>1.8</v>
      </c>
      <c r="E16" s="7">
        <v>1.7</v>
      </c>
      <c r="F16" s="7">
        <v>1.3</v>
      </c>
      <c r="G16" s="7">
        <v>0.4</v>
      </c>
      <c r="H16" s="7">
        <v>2.6</v>
      </c>
      <c r="I16" s="7">
        <v>-1.9</v>
      </c>
      <c r="J16" s="7">
        <v>3.2</v>
      </c>
      <c r="K16" s="7">
        <v>0.2</v>
      </c>
    </row>
    <row r="17" spans="1:11" x14ac:dyDescent="0.2">
      <c r="A17" s="18"/>
      <c r="B17" s="5" t="s">
        <v>22</v>
      </c>
      <c r="C17" s="6">
        <v>-0.6</v>
      </c>
      <c r="D17" s="6">
        <v>1.4</v>
      </c>
      <c r="E17" s="6">
        <v>0.2</v>
      </c>
      <c r="F17" s="6">
        <v>0.6</v>
      </c>
      <c r="G17" s="6">
        <v>-1.8</v>
      </c>
      <c r="H17" s="6">
        <v>0.9</v>
      </c>
      <c r="I17" s="6">
        <v>-2.8</v>
      </c>
      <c r="J17" s="6">
        <v>-0.1</v>
      </c>
      <c r="K17" s="6">
        <v>0</v>
      </c>
    </row>
    <row r="18" spans="1:11" x14ac:dyDescent="0.2">
      <c r="A18" s="18"/>
      <c r="B18" s="5" t="s">
        <v>23</v>
      </c>
      <c r="C18" s="7">
        <v>3.2</v>
      </c>
      <c r="D18" s="7">
        <v>3.1</v>
      </c>
      <c r="E18" s="7">
        <v>1.2</v>
      </c>
      <c r="F18" s="7">
        <v>1</v>
      </c>
      <c r="G18" s="7">
        <v>-1</v>
      </c>
      <c r="H18" s="7">
        <v>0.6</v>
      </c>
      <c r="I18" s="7">
        <v>-1.9</v>
      </c>
      <c r="J18" s="7">
        <v>2.8</v>
      </c>
      <c r="K18" s="7">
        <v>2.2999999999999998</v>
      </c>
    </row>
    <row r="19" spans="1:11" x14ac:dyDescent="0.2">
      <c r="A19" s="18"/>
      <c r="B19" s="5" t="s">
        <v>24</v>
      </c>
      <c r="C19" s="6">
        <v>2.9</v>
      </c>
      <c r="D19" s="6">
        <v>2.1</v>
      </c>
      <c r="E19" s="6">
        <v>0.3</v>
      </c>
      <c r="F19" s="6">
        <v>1</v>
      </c>
      <c r="G19" s="6">
        <v>-1.8</v>
      </c>
      <c r="H19" s="6">
        <v>2.2000000000000002</v>
      </c>
      <c r="I19" s="6">
        <v>-2.2000000000000002</v>
      </c>
      <c r="J19" s="6">
        <v>0.8</v>
      </c>
      <c r="K19" s="6">
        <v>1.6</v>
      </c>
    </row>
    <row r="20" spans="1:11" x14ac:dyDescent="0.2">
      <c r="A20" s="18"/>
      <c r="B20" s="5" t="s">
        <v>25</v>
      </c>
      <c r="C20" s="7">
        <v>6.1</v>
      </c>
      <c r="D20" s="7">
        <v>6</v>
      </c>
      <c r="E20" s="7">
        <v>2.9</v>
      </c>
      <c r="F20" s="7">
        <v>1.7</v>
      </c>
      <c r="G20" s="7">
        <v>0.8</v>
      </c>
      <c r="H20" s="7">
        <v>4.4000000000000004</v>
      </c>
      <c r="I20" s="7">
        <v>-1.2</v>
      </c>
      <c r="J20" s="7">
        <v>3</v>
      </c>
      <c r="K20" s="7">
        <v>4.7</v>
      </c>
    </row>
    <row r="21" spans="1:11" x14ac:dyDescent="0.2">
      <c r="A21" s="18"/>
      <c r="B21" s="5" t="s">
        <v>26</v>
      </c>
      <c r="C21" s="6">
        <v>2.9</v>
      </c>
      <c r="D21" s="6">
        <v>4.0999999999999996</v>
      </c>
      <c r="E21" s="6">
        <v>-0.2</v>
      </c>
      <c r="F21" s="6">
        <v>1.8</v>
      </c>
      <c r="G21" s="6">
        <v>-1.2</v>
      </c>
      <c r="H21" s="6">
        <v>3.1</v>
      </c>
      <c r="I21" s="6">
        <v>-0.4</v>
      </c>
      <c r="J21" s="6">
        <v>3.6</v>
      </c>
      <c r="K21" s="6">
        <v>2.4</v>
      </c>
    </row>
    <row r="22" spans="1:11" x14ac:dyDescent="0.2">
      <c r="A22" s="19"/>
      <c r="B22" s="5" t="s">
        <v>27</v>
      </c>
      <c r="C22" s="7">
        <v>2.1</v>
      </c>
      <c r="D22" s="7">
        <v>3</v>
      </c>
      <c r="E22" s="7">
        <v>0.8</v>
      </c>
      <c r="F22" s="7">
        <v>0.5</v>
      </c>
      <c r="G22" s="7">
        <v>-0.6</v>
      </c>
      <c r="H22" s="7">
        <v>2</v>
      </c>
      <c r="I22" s="7">
        <v>-1.1000000000000001</v>
      </c>
      <c r="J22" s="7">
        <v>1.4</v>
      </c>
      <c r="K22" s="7">
        <v>1.9</v>
      </c>
    </row>
    <row r="23" spans="1:11" x14ac:dyDescent="0.2">
      <c r="A23" s="17" t="s">
        <v>29</v>
      </c>
      <c r="B23" s="5" t="s">
        <v>20</v>
      </c>
      <c r="C23" s="6">
        <v>21.9</v>
      </c>
      <c r="D23" s="6">
        <v>11.5</v>
      </c>
      <c r="E23" s="6">
        <v>4.5</v>
      </c>
      <c r="F23" s="6">
        <v>3.8</v>
      </c>
      <c r="G23" s="6">
        <v>-3.4</v>
      </c>
      <c r="H23" s="6">
        <v>1.9</v>
      </c>
      <c r="I23" s="6">
        <v>-1.7</v>
      </c>
      <c r="J23" s="6">
        <v>5.5</v>
      </c>
      <c r="K23" s="6">
        <v>11.4</v>
      </c>
    </row>
    <row r="24" spans="1:11" x14ac:dyDescent="0.2">
      <c r="A24" s="18"/>
      <c r="B24" s="5" t="s">
        <v>21</v>
      </c>
      <c r="C24" s="7">
        <v>15.2</v>
      </c>
      <c r="D24" s="7">
        <v>11.3</v>
      </c>
      <c r="E24" s="7">
        <v>4.5999999999999996</v>
      </c>
      <c r="F24" s="7">
        <v>3.9</v>
      </c>
      <c r="G24" s="7">
        <v>-2.9</v>
      </c>
      <c r="H24" s="7">
        <v>3.6</v>
      </c>
      <c r="I24" s="7">
        <v>-2.8</v>
      </c>
      <c r="J24" s="7">
        <v>7.8</v>
      </c>
      <c r="K24" s="7">
        <v>9.3000000000000007</v>
      </c>
    </row>
    <row r="25" spans="1:11" x14ac:dyDescent="0.2">
      <c r="A25" s="18"/>
      <c r="B25" s="5" t="s">
        <v>22</v>
      </c>
      <c r="C25" s="6">
        <v>10.3</v>
      </c>
      <c r="D25" s="6">
        <v>11.5</v>
      </c>
      <c r="E25" s="6">
        <v>4.5</v>
      </c>
      <c r="F25" s="6">
        <v>3.7</v>
      </c>
      <c r="G25" s="6">
        <v>-4.7</v>
      </c>
      <c r="H25" s="6">
        <v>4</v>
      </c>
      <c r="I25" s="6">
        <v>-5.4</v>
      </c>
      <c r="J25" s="6">
        <v>6.1</v>
      </c>
      <c r="K25" s="6">
        <v>7.4</v>
      </c>
    </row>
    <row r="26" spans="1:11" x14ac:dyDescent="0.2">
      <c r="A26" s="18"/>
      <c r="B26" s="5" t="s">
        <v>23</v>
      </c>
      <c r="C26" s="7">
        <v>3.7</v>
      </c>
      <c r="D26" s="7">
        <v>9.9</v>
      </c>
      <c r="E26" s="7">
        <v>4.8</v>
      </c>
      <c r="F26" s="7">
        <v>4.2</v>
      </c>
      <c r="G26" s="7">
        <v>-4.7</v>
      </c>
      <c r="H26" s="7">
        <v>4.5999999999999996</v>
      </c>
      <c r="I26" s="7">
        <v>-6.8</v>
      </c>
      <c r="J26" s="7">
        <v>7.9</v>
      </c>
      <c r="K26" s="7">
        <v>4.5999999999999996</v>
      </c>
    </row>
    <row r="27" spans="1:11" x14ac:dyDescent="0.2">
      <c r="A27" s="18"/>
      <c r="B27" s="5" t="s">
        <v>24</v>
      </c>
      <c r="C27" s="6">
        <v>3.3</v>
      </c>
      <c r="D27" s="6">
        <v>8.6</v>
      </c>
      <c r="E27" s="6">
        <v>3.4</v>
      </c>
      <c r="F27" s="6">
        <v>3.9</v>
      </c>
      <c r="G27" s="6">
        <v>-4.0999999999999996</v>
      </c>
      <c r="H27" s="6">
        <v>6.4</v>
      </c>
      <c r="I27" s="6">
        <v>-8.5</v>
      </c>
      <c r="J27" s="6">
        <v>6.8</v>
      </c>
      <c r="K27" s="6">
        <v>4.0999999999999996</v>
      </c>
    </row>
    <row r="28" spans="1:11" x14ac:dyDescent="0.2">
      <c r="A28" s="18"/>
      <c r="B28" s="5" t="s">
        <v>25</v>
      </c>
      <c r="C28" s="7">
        <v>12</v>
      </c>
      <c r="D28" s="7">
        <v>13.1</v>
      </c>
      <c r="E28" s="7">
        <v>4.5999999999999996</v>
      </c>
      <c r="F28" s="7">
        <v>4.3</v>
      </c>
      <c r="G28" s="7">
        <v>-3.8</v>
      </c>
      <c r="H28" s="7">
        <v>8.3000000000000007</v>
      </c>
      <c r="I28" s="7">
        <v>-7.9</v>
      </c>
      <c r="J28" s="7">
        <v>6.6</v>
      </c>
      <c r="K28" s="7">
        <v>8.9</v>
      </c>
    </row>
    <row r="29" spans="1:11" x14ac:dyDescent="0.2">
      <c r="A29" s="18"/>
      <c r="B29" s="5" t="s">
        <v>26</v>
      </c>
      <c r="C29" s="6">
        <v>16</v>
      </c>
      <c r="D29" s="6">
        <v>16.100000000000001</v>
      </c>
      <c r="E29" s="6">
        <v>4.3</v>
      </c>
      <c r="F29" s="6">
        <v>5.6</v>
      </c>
      <c r="G29" s="6">
        <v>-3.2</v>
      </c>
      <c r="H29" s="6">
        <v>10.6</v>
      </c>
      <c r="I29" s="6">
        <v>-5.6</v>
      </c>
      <c r="J29" s="6">
        <v>10.6</v>
      </c>
      <c r="K29" s="6">
        <v>11.5</v>
      </c>
    </row>
    <row r="30" spans="1:11" x14ac:dyDescent="0.2">
      <c r="A30" s="19"/>
      <c r="B30" s="5" t="s">
        <v>27</v>
      </c>
      <c r="C30" s="7">
        <v>14.8</v>
      </c>
      <c r="D30" s="7">
        <v>16</v>
      </c>
      <c r="E30" s="7">
        <v>3.9</v>
      </c>
      <c r="F30" s="7">
        <v>5.0999999999999996</v>
      </c>
      <c r="G30" s="7">
        <v>-2.8</v>
      </c>
      <c r="H30" s="7">
        <v>12.2</v>
      </c>
      <c r="I30" s="7">
        <v>-4.7</v>
      </c>
      <c r="J30" s="7">
        <v>9</v>
      </c>
      <c r="K30" s="7">
        <v>11.1</v>
      </c>
    </row>
    <row r="31" spans="1:11" x14ac:dyDescent="0.2">
      <c r="A31" t="s">
        <v>33</v>
      </c>
    </row>
  </sheetData>
  <mergeCells count="8">
    <mergeCell ref="A15:A22"/>
    <mergeCell ref="A23:A30"/>
    <mergeCell ref="A3:B3"/>
    <mergeCell ref="C3:K3"/>
    <mergeCell ref="A4:B4"/>
    <mergeCell ref="C4:K4"/>
    <mergeCell ref="A5:B5"/>
    <mergeCell ref="A7:A1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1"/>
  <sheetViews>
    <sheetView topLeftCell="A2" workbookViewId="0">
      <selection activeCell="D7" sqref="D7:D30"/>
    </sheetView>
  </sheetViews>
  <sheetFormatPr defaultRowHeight="12.75" x14ac:dyDescent="0.2"/>
  <cols>
    <col min="1" max="2" width="27.42578125" customWidth="1"/>
  </cols>
  <sheetData>
    <row r="1" spans="1:11" hidden="1" x14ac:dyDescent="0.2">
      <c r="A1" s="1" t="e">
        <f ca="1">DotStatQuery(B1)</f>
        <v>#NAME?</v>
      </c>
      <c r="B1" s="1" t="s">
        <v>34</v>
      </c>
    </row>
    <row r="2" spans="1:11" x14ac:dyDescent="0.2">
      <c r="A2" t="s">
        <v>1</v>
      </c>
    </row>
    <row r="3" spans="1:11" x14ac:dyDescent="0.2">
      <c r="A3" s="20" t="s">
        <v>2</v>
      </c>
      <c r="B3" s="21"/>
      <c r="C3" s="22" t="s">
        <v>35</v>
      </c>
      <c r="D3" s="23"/>
      <c r="E3" s="23"/>
      <c r="F3" s="23"/>
      <c r="G3" s="23"/>
      <c r="H3" s="23"/>
      <c r="I3" s="23"/>
      <c r="J3" s="23"/>
      <c r="K3" s="24"/>
    </row>
    <row r="4" spans="1:11" x14ac:dyDescent="0.2">
      <c r="A4" s="20" t="s">
        <v>4</v>
      </c>
      <c r="B4" s="21"/>
      <c r="C4" s="25" t="s">
        <v>5</v>
      </c>
      <c r="D4" s="26"/>
      <c r="E4" s="26"/>
      <c r="F4" s="26"/>
      <c r="G4" s="26"/>
      <c r="H4" s="26"/>
      <c r="I4" s="26"/>
      <c r="J4" s="26"/>
      <c r="K4" s="27"/>
    </row>
    <row r="5" spans="1:11" ht="52.5" x14ac:dyDescent="0.2">
      <c r="A5" s="28" t="s">
        <v>6</v>
      </c>
      <c r="B5" s="29"/>
      <c r="C5" s="2" t="s">
        <v>7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14</v>
      </c>
      <c r="K5" s="2" t="s">
        <v>15</v>
      </c>
    </row>
    <row r="6" spans="1:11" ht="13.5" x14ac:dyDescent="0.25">
      <c r="A6" s="3" t="s">
        <v>16</v>
      </c>
      <c r="B6" s="3" t="s">
        <v>17</v>
      </c>
      <c r="C6" s="4" t="s">
        <v>18</v>
      </c>
      <c r="D6" s="4" t="s">
        <v>18</v>
      </c>
      <c r="E6" s="4" t="s">
        <v>18</v>
      </c>
      <c r="F6" s="4" t="s">
        <v>18</v>
      </c>
      <c r="G6" s="4" t="s">
        <v>18</v>
      </c>
      <c r="H6" s="4" t="s">
        <v>18</v>
      </c>
      <c r="I6" s="4" t="s">
        <v>18</v>
      </c>
      <c r="J6" s="4" t="s">
        <v>18</v>
      </c>
      <c r="K6" s="4" t="s">
        <v>18</v>
      </c>
    </row>
    <row r="7" spans="1:11" x14ac:dyDescent="0.2">
      <c r="A7" s="17" t="s">
        <v>19</v>
      </c>
      <c r="B7" s="5" t="s">
        <v>20</v>
      </c>
      <c r="C7" s="6">
        <v>145.19999999999999</v>
      </c>
      <c r="D7" s="6">
        <v>114.2</v>
      </c>
      <c r="E7" s="6">
        <v>110.3</v>
      </c>
      <c r="F7" s="6">
        <v>103.7</v>
      </c>
      <c r="G7" s="6">
        <v>107.6</v>
      </c>
      <c r="H7" s="6">
        <v>102.1</v>
      </c>
      <c r="I7" s="6">
        <v>110.4</v>
      </c>
      <c r="J7" s="6">
        <v>99.4</v>
      </c>
      <c r="K7" s="6">
        <v>126.2</v>
      </c>
    </row>
    <row r="8" spans="1:11" x14ac:dyDescent="0.2">
      <c r="A8" s="18"/>
      <c r="B8" s="5" t="s">
        <v>21</v>
      </c>
      <c r="C8" s="7">
        <v>144.1</v>
      </c>
      <c r="D8" s="7">
        <v>115.5</v>
      </c>
      <c r="E8" s="7">
        <v>110.8</v>
      </c>
      <c r="F8" s="7">
        <v>103.3</v>
      </c>
      <c r="G8" s="7">
        <v>107.8</v>
      </c>
      <c r="H8" s="7">
        <v>104.1</v>
      </c>
      <c r="I8" s="7">
        <v>108.5</v>
      </c>
      <c r="J8" s="7">
        <v>100.7</v>
      </c>
      <c r="K8" s="7">
        <v>126.2</v>
      </c>
    </row>
    <row r="9" spans="1:11" x14ac:dyDescent="0.2">
      <c r="A9" s="18"/>
      <c r="B9" s="5" t="s">
        <v>22</v>
      </c>
      <c r="C9" s="6">
        <v>143.19999999999999</v>
      </c>
      <c r="D9" s="6">
        <v>114</v>
      </c>
      <c r="E9" s="6">
        <v>111.6</v>
      </c>
      <c r="F9" s="6">
        <v>102.9</v>
      </c>
      <c r="G9" s="6">
        <v>106.6</v>
      </c>
      <c r="H9" s="6">
        <v>106.5</v>
      </c>
      <c r="I9" s="6">
        <v>108.6</v>
      </c>
      <c r="J9" s="6">
        <v>99.6</v>
      </c>
      <c r="K9" s="6">
        <v>125.2</v>
      </c>
    </row>
    <row r="10" spans="1:11" x14ac:dyDescent="0.2">
      <c r="A10" s="18"/>
      <c r="B10" s="5" t="s">
        <v>23</v>
      </c>
      <c r="C10" s="7">
        <v>146.1</v>
      </c>
      <c r="D10" s="7">
        <v>115.5</v>
      </c>
      <c r="E10" s="7">
        <v>112.7</v>
      </c>
      <c r="F10" s="7">
        <v>103.1</v>
      </c>
      <c r="G10" s="7">
        <v>104.8</v>
      </c>
      <c r="H10" s="7">
        <v>107.9</v>
      </c>
      <c r="I10" s="7">
        <v>104.9</v>
      </c>
      <c r="J10" s="7">
        <v>99.6</v>
      </c>
      <c r="K10" s="7">
        <v>126.9</v>
      </c>
    </row>
    <row r="11" spans="1:11" x14ac:dyDescent="0.2">
      <c r="A11" s="18"/>
      <c r="B11" s="5" t="s">
        <v>24</v>
      </c>
      <c r="C11" s="6">
        <v>149.19999999999999</v>
      </c>
      <c r="D11" s="6">
        <v>115.9</v>
      </c>
      <c r="E11" s="6">
        <v>112</v>
      </c>
      <c r="F11" s="6">
        <v>103.8</v>
      </c>
      <c r="G11" s="6">
        <v>104</v>
      </c>
      <c r="H11" s="6">
        <v>110.2</v>
      </c>
      <c r="I11" s="6">
        <v>105.7</v>
      </c>
      <c r="J11" s="6">
        <v>100.4</v>
      </c>
      <c r="K11" s="6">
        <v>128.4</v>
      </c>
    </row>
    <row r="12" spans="1:11" x14ac:dyDescent="0.2">
      <c r="A12" s="18"/>
      <c r="B12" s="5" t="s">
        <v>25</v>
      </c>
      <c r="C12" s="7">
        <v>153.80000000000001</v>
      </c>
      <c r="D12" s="7">
        <v>119.2</v>
      </c>
      <c r="E12" s="7">
        <v>110.5</v>
      </c>
      <c r="F12" s="7">
        <v>106.3</v>
      </c>
      <c r="G12" s="7">
        <v>102.2</v>
      </c>
      <c r="H12" s="7">
        <v>116.2</v>
      </c>
      <c r="I12" s="7">
        <v>103.1</v>
      </c>
      <c r="J12" s="7">
        <v>102.7</v>
      </c>
      <c r="K12" s="7">
        <v>131.30000000000001</v>
      </c>
    </row>
    <row r="13" spans="1:11" x14ac:dyDescent="0.2">
      <c r="A13" s="18"/>
      <c r="B13" s="5" t="s">
        <v>26</v>
      </c>
      <c r="C13" s="6">
        <v>159.1</v>
      </c>
      <c r="D13" s="6">
        <v>118.4</v>
      </c>
      <c r="E13" s="6">
        <v>111.2</v>
      </c>
      <c r="F13" s="6">
        <v>106.2</v>
      </c>
      <c r="G13" s="6">
        <v>101.3</v>
      </c>
      <c r="H13" s="6">
        <v>122.1</v>
      </c>
      <c r="I13" s="6">
        <v>100.9</v>
      </c>
      <c r="J13" s="6">
        <v>102.5</v>
      </c>
      <c r="K13" s="6">
        <v>133.5</v>
      </c>
    </row>
    <row r="14" spans="1:11" x14ac:dyDescent="0.2">
      <c r="A14" s="19"/>
      <c r="B14" s="5" t="s">
        <v>27</v>
      </c>
      <c r="C14" s="7">
        <v>163.19999999999999</v>
      </c>
      <c r="D14" s="7">
        <v>121.6</v>
      </c>
      <c r="E14" s="7">
        <v>111.2</v>
      </c>
      <c r="F14" s="7">
        <v>108.2</v>
      </c>
      <c r="G14" s="7">
        <v>99.8</v>
      </c>
      <c r="H14" s="7">
        <v>122.8</v>
      </c>
      <c r="I14" s="7">
        <v>99.1</v>
      </c>
      <c r="J14" s="7">
        <v>103.3</v>
      </c>
      <c r="K14" s="7">
        <v>136.1</v>
      </c>
    </row>
    <row r="15" spans="1:11" x14ac:dyDescent="0.2">
      <c r="A15" s="17" t="s">
        <v>28</v>
      </c>
      <c r="B15" s="5" t="s">
        <v>20</v>
      </c>
      <c r="C15" s="6">
        <v>2.5</v>
      </c>
      <c r="D15" s="6">
        <v>1.6</v>
      </c>
      <c r="E15" s="6">
        <v>0.2</v>
      </c>
      <c r="F15" s="6">
        <v>1.3</v>
      </c>
      <c r="G15" s="6">
        <v>-2.1</v>
      </c>
      <c r="H15" s="6">
        <v>1.2</v>
      </c>
      <c r="I15" s="6">
        <v>-0.7</v>
      </c>
      <c r="J15" s="6">
        <v>-0.6</v>
      </c>
      <c r="K15" s="6">
        <v>1.6</v>
      </c>
    </row>
    <row r="16" spans="1:11" x14ac:dyDescent="0.2">
      <c r="A16" s="18"/>
      <c r="B16" s="5" t="s">
        <v>21</v>
      </c>
      <c r="C16" s="7">
        <v>-0.8</v>
      </c>
      <c r="D16" s="7">
        <v>1.1000000000000001</v>
      </c>
      <c r="E16" s="7">
        <v>0.5</v>
      </c>
      <c r="F16" s="7">
        <v>-0.4</v>
      </c>
      <c r="G16" s="7">
        <v>0.2</v>
      </c>
      <c r="H16" s="7">
        <v>2</v>
      </c>
      <c r="I16" s="7">
        <v>-1.7</v>
      </c>
      <c r="J16" s="7">
        <v>1.3</v>
      </c>
      <c r="K16" s="7">
        <v>0</v>
      </c>
    </row>
    <row r="17" spans="1:11" x14ac:dyDescent="0.2">
      <c r="A17" s="18"/>
      <c r="B17" s="5" t="s">
        <v>22</v>
      </c>
      <c r="C17" s="6">
        <v>-0.6</v>
      </c>
      <c r="D17" s="6">
        <v>-1.3</v>
      </c>
      <c r="E17" s="6">
        <v>0.7</v>
      </c>
      <c r="F17" s="6">
        <v>-0.4</v>
      </c>
      <c r="G17" s="6">
        <v>-1.1000000000000001</v>
      </c>
      <c r="H17" s="6">
        <v>2.2999999999999998</v>
      </c>
      <c r="I17" s="6">
        <v>0.1</v>
      </c>
      <c r="J17" s="6">
        <v>-1.1000000000000001</v>
      </c>
      <c r="K17" s="6">
        <v>-0.8</v>
      </c>
    </row>
    <row r="18" spans="1:11" x14ac:dyDescent="0.2">
      <c r="A18" s="18"/>
      <c r="B18" s="5" t="s">
        <v>23</v>
      </c>
      <c r="C18" s="7">
        <v>2</v>
      </c>
      <c r="D18" s="7">
        <v>1.3</v>
      </c>
      <c r="E18" s="7">
        <v>1</v>
      </c>
      <c r="F18" s="7">
        <v>0.2</v>
      </c>
      <c r="G18" s="7">
        <v>-1.7</v>
      </c>
      <c r="H18" s="7">
        <v>1.3</v>
      </c>
      <c r="I18" s="7">
        <v>-3.4</v>
      </c>
      <c r="J18" s="7">
        <v>0</v>
      </c>
      <c r="K18" s="7">
        <v>1.4</v>
      </c>
    </row>
    <row r="19" spans="1:11" x14ac:dyDescent="0.2">
      <c r="A19" s="18"/>
      <c r="B19" s="5" t="s">
        <v>24</v>
      </c>
      <c r="C19" s="6">
        <v>2.1</v>
      </c>
      <c r="D19" s="6">
        <v>0.3</v>
      </c>
      <c r="E19" s="6">
        <v>-0.6</v>
      </c>
      <c r="F19" s="6">
        <v>0.7</v>
      </c>
      <c r="G19" s="6">
        <v>-0.8</v>
      </c>
      <c r="H19" s="6">
        <v>2.1</v>
      </c>
      <c r="I19" s="6">
        <v>0.8</v>
      </c>
      <c r="J19" s="6">
        <v>0.8</v>
      </c>
      <c r="K19" s="6">
        <v>1.2</v>
      </c>
    </row>
    <row r="20" spans="1:11" x14ac:dyDescent="0.2">
      <c r="A20" s="18"/>
      <c r="B20" s="5" t="s">
        <v>25</v>
      </c>
      <c r="C20" s="7">
        <v>3.1</v>
      </c>
      <c r="D20" s="7">
        <v>2.8</v>
      </c>
      <c r="E20" s="7">
        <v>-1.3</v>
      </c>
      <c r="F20" s="7">
        <v>2.4</v>
      </c>
      <c r="G20" s="7">
        <v>-1.7</v>
      </c>
      <c r="H20" s="7">
        <v>5.4</v>
      </c>
      <c r="I20" s="7">
        <v>-2.5</v>
      </c>
      <c r="J20" s="7">
        <v>2.2999999999999998</v>
      </c>
      <c r="K20" s="7">
        <v>2.2999999999999998</v>
      </c>
    </row>
    <row r="21" spans="1:11" x14ac:dyDescent="0.2">
      <c r="A21" s="18"/>
      <c r="B21" s="5" t="s">
        <v>26</v>
      </c>
      <c r="C21" s="6">
        <v>3.4</v>
      </c>
      <c r="D21" s="6">
        <v>-0.7</v>
      </c>
      <c r="E21" s="6">
        <v>0.6</v>
      </c>
      <c r="F21" s="6">
        <v>-0.1</v>
      </c>
      <c r="G21" s="6">
        <v>-0.9</v>
      </c>
      <c r="H21" s="6">
        <v>5.0999999999999996</v>
      </c>
      <c r="I21" s="6">
        <v>-2.1</v>
      </c>
      <c r="J21" s="6">
        <v>-0.2</v>
      </c>
      <c r="K21" s="6">
        <v>1.7</v>
      </c>
    </row>
    <row r="22" spans="1:11" x14ac:dyDescent="0.2">
      <c r="A22" s="19"/>
      <c r="B22" s="5" t="s">
        <v>27</v>
      </c>
      <c r="C22" s="7">
        <v>2.6</v>
      </c>
      <c r="D22" s="7">
        <v>2.7</v>
      </c>
      <c r="E22" s="7">
        <v>0</v>
      </c>
      <c r="F22" s="7">
        <v>1.9</v>
      </c>
      <c r="G22" s="7">
        <v>-1.5</v>
      </c>
      <c r="H22" s="7">
        <v>0.6</v>
      </c>
      <c r="I22" s="7">
        <v>-1.8</v>
      </c>
      <c r="J22" s="7">
        <v>0.8</v>
      </c>
      <c r="K22" s="7">
        <v>1.9</v>
      </c>
    </row>
    <row r="23" spans="1:11" x14ac:dyDescent="0.2">
      <c r="A23" s="17" t="s">
        <v>29</v>
      </c>
      <c r="B23" s="5" t="s">
        <v>20</v>
      </c>
      <c r="C23" s="6">
        <v>15.8</v>
      </c>
      <c r="D23" s="6">
        <v>4.5</v>
      </c>
      <c r="E23" s="6">
        <v>0.8</v>
      </c>
      <c r="F23" s="6">
        <v>2.2999999999999998</v>
      </c>
      <c r="G23" s="6">
        <v>-3.2</v>
      </c>
      <c r="H23" s="6">
        <v>0.9</v>
      </c>
      <c r="I23" s="6">
        <v>-2.8</v>
      </c>
      <c r="J23" s="6">
        <v>-0.9</v>
      </c>
      <c r="K23" s="6">
        <v>8.6999999999999993</v>
      </c>
    </row>
    <row r="24" spans="1:11" x14ac:dyDescent="0.2">
      <c r="A24" s="18"/>
      <c r="B24" s="5" t="s">
        <v>21</v>
      </c>
      <c r="C24" s="7">
        <v>11.2</v>
      </c>
      <c r="D24" s="7">
        <v>4.4000000000000004</v>
      </c>
      <c r="E24" s="7">
        <v>2.1</v>
      </c>
      <c r="F24" s="7">
        <v>0.9</v>
      </c>
      <c r="G24" s="7">
        <v>-2.8</v>
      </c>
      <c r="H24" s="7">
        <v>3.2</v>
      </c>
      <c r="I24" s="7">
        <v>-4.2</v>
      </c>
      <c r="J24" s="7">
        <v>0.4</v>
      </c>
      <c r="K24" s="7">
        <v>6.7</v>
      </c>
    </row>
    <row r="25" spans="1:11" x14ac:dyDescent="0.2">
      <c r="A25" s="18"/>
      <c r="B25" s="5" t="s">
        <v>22</v>
      </c>
      <c r="C25" s="6">
        <v>8.1999999999999993</v>
      </c>
      <c r="D25" s="6">
        <v>3.9</v>
      </c>
      <c r="E25" s="6">
        <v>2.1</v>
      </c>
      <c r="F25" s="6">
        <v>0.6</v>
      </c>
      <c r="G25" s="6">
        <v>-3.6</v>
      </c>
      <c r="H25" s="6">
        <v>5</v>
      </c>
      <c r="I25" s="6">
        <v>-3.6</v>
      </c>
      <c r="J25" s="6">
        <v>-0.4</v>
      </c>
      <c r="K25" s="6">
        <v>4.9000000000000004</v>
      </c>
    </row>
    <row r="26" spans="1:11" x14ac:dyDescent="0.2">
      <c r="A26" s="18"/>
      <c r="B26" s="5" t="s">
        <v>23</v>
      </c>
      <c r="C26" s="7">
        <v>3.2</v>
      </c>
      <c r="D26" s="7">
        <v>2.8</v>
      </c>
      <c r="E26" s="7">
        <v>2.4</v>
      </c>
      <c r="F26" s="7">
        <v>0.7</v>
      </c>
      <c r="G26" s="7">
        <v>-4.5999999999999996</v>
      </c>
      <c r="H26" s="7">
        <v>6.9</v>
      </c>
      <c r="I26" s="7">
        <v>-5.7</v>
      </c>
      <c r="J26" s="7">
        <v>-0.4</v>
      </c>
      <c r="K26" s="7">
        <v>2.2000000000000002</v>
      </c>
    </row>
    <row r="27" spans="1:11" x14ac:dyDescent="0.2">
      <c r="A27" s="18"/>
      <c r="B27" s="5" t="s">
        <v>24</v>
      </c>
      <c r="C27" s="6">
        <v>2.8</v>
      </c>
      <c r="D27" s="6">
        <v>1.5</v>
      </c>
      <c r="E27" s="6">
        <v>1.5</v>
      </c>
      <c r="F27" s="6">
        <v>0.1</v>
      </c>
      <c r="G27" s="6">
        <v>-3.3</v>
      </c>
      <c r="H27" s="6">
        <v>7.9</v>
      </c>
      <c r="I27" s="6">
        <v>-4.3</v>
      </c>
      <c r="J27" s="6">
        <v>1</v>
      </c>
      <c r="K27" s="6">
        <v>1.7</v>
      </c>
    </row>
    <row r="28" spans="1:11" x14ac:dyDescent="0.2">
      <c r="A28" s="18"/>
      <c r="B28" s="5" t="s">
        <v>25</v>
      </c>
      <c r="C28" s="7">
        <v>6.7</v>
      </c>
      <c r="D28" s="7">
        <v>3.2</v>
      </c>
      <c r="E28" s="7">
        <v>-0.3</v>
      </c>
      <c r="F28" s="7">
        <v>2.9</v>
      </c>
      <c r="G28" s="7">
        <v>-5.2</v>
      </c>
      <c r="H28" s="7">
        <v>11.6</v>
      </c>
      <c r="I28" s="7">
        <v>-5</v>
      </c>
      <c r="J28" s="7">
        <v>2</v>
      </c>
      <c r="K28" s="7">
        <v>4</v>
      </c>
    </row>
    <row r="29" spans="1:11" x14ac:dyDescent="0.2">
      <c r="A29" s="18"/>
      <c r="B29" s="5" t="s">
        <v>26</v>
      </c>
      <c r="C29" s="6">
        <v>11.1</v>
      </c>
      <c r="D29" s="6">
        <v>3.9</v>
      </c>
      <c r="E29" s="6">
        <v>-0.4</v>
      </c>
      <c r="F29" s="6">
        <v>3.2</v>
      </c>
      <c r="G29" s="6">
        <v>-5</v>
      </c>
      <c r="H29" s="6">
        <v>14.6</v>
      </c>
      <c r="I29" s="6">
        <v>-7.1</v>
      </c>
      <c r="J29" s="6">
        <v>2.9</v>
      </c>
      <c r="K29" s="6">
        <v>6.6</v>
      </c>
    </row>
    <row r="30" spans="1:11" x14ac:dyDescent="0.2">
      <c r="A30" s="19"/>
      <c r="B30" s="5" t="s">
        <v>27</v>
      </c>
      <c r="C30" s="7">
        <v>11.7</v>
      </c>
      <c r="D30" s="7">
        <v>5.3</v>
      </c>
      <c r="E30" s="7">
        <v>-1.3</v>
      </c>
      <c r="F30" s="7">
        <v>4.9000000000000004</v>
      </c>
      <c r="G30" s="7">
        <v>-4.8</v>
      </c>
      <c r="H30" s="7">
        <v>13.8</v>
      </c>
      <c r="I30" s="7">
        <v>-5.5</v>
      </c>
      <c r="J30" s="7">
        <v>3.7</v>
      </c>
      <c r="K30" s="7">
        <v>7.2</v>
      </c>
    </row>
    <row r="31" spans="1:11" x14ac:dyDescent="0.2">
      <c r="A31" t="s">
        <v>36</v>
      </c>
    </row>
  </sheetData>
  <mergeCells count="8">
    <mergeCell ref="A15:A22"/>
    <mergeCell ref="A23:A30"/>
    <mergeCell ref="A3:B3"/>
    <mergeCell ref="C3:K3"/>
    <mergeCell ref="A4:B4"/>
    <mergeCell ref="C4:K4"/>
    <mergeCell ref="A5:B5"/>
    <mergeCell ref="A7:A14"/>
  </mergeCells>
  <hyperlinks>
    <hyperlink ref="C3" r:id="rId1" tooltip="Click once to display linked information. Click and hold to select this cell." display="http://stat.data.abs.gov.au/OECDStat_Metadata/ShowMetadata.ashx?Dataset=RES_PROP_INDEX&amp;Coords=[PROP_TYPE].[1]&amp;ShowOnWeb=true&amp;Lang=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Analysis</vt:lpstr>
      <vt:lpstr>Residential_Property</vt:lpstr>
      <vt:lpstr>Established_Houses</vt:lpstr>
      <vt:lpstr>Attached_Dwellings</vt:lpstr>
    </vt:vector>
  </TitlesOfParts>
  <Company>ABS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ABS.Stat © Commonwealth of Australia. Creative Commons Attribution 2.5 Australia (https://creativecommons.org/licenses/by/2.5/au)</dc:creator>
  <cp:lastModifiedBy>Joshua Ng</cp:lastModifiedBy>
  <dcterms:created xsi:type="dcterms:W3CDTF">2017-10-03T19:41:08Z</dcterms:created>
  <dcterms:modified xsi:type="dcterms:W3CDTF">2017-10-26T01:49:43Z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2c65c31f-4b81-4e5f-9e0f-21d7ae09a495</vt:lpwstr>
  </property>
</Properties>
</file>